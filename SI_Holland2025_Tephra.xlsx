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/Library/Mobile Documents/com~apple~CloudDocs/PhD/Projects/(All) Mt. Logan Ice Core/Manuscripts/Accumulation/Manuscript/Submission/"/>
    </mc:Choice>
  </mc:AlternateContent>
  <xr:revisionPtr revIDLastSave="0" documentId="13_ncr:1_{E4ABBDCF-1B47-D045-ACC8-8E30BF7E8390}" xr6:coauthVersionLast="47" xr6:coauthVersionMax="47" xr10:uidLastSave="{00000000-0000-0000-0000-000000000000}"/>
  <bookViews>
    <workbookView xWindow="0" yWindow="760" windowWidth="30240" windowHeight="18880" activeTab="2" xr2:uid="{2F0BA07F-9FDF-0A4B-9214-3CB6AC0E8613}"/>
  </bookViews>
  <sheets>
    <sheet name="Katmai-Novarupta, 1912" sheetId="1" r:id="rId1"/>
    <sheet name="Katmai-Novarupta, 1912 (HR)" sheetId="2" r:id="rId2"/>
    <sheet name="Augustine, 1986_plot" sheetId="5" r:id="rId3"/>
    <sheet name="Augustine, 1986" sheetId="3" r:id="rId4"/>
    <sheet name="Logan Novarupta Sample Notes" sheetId="4" r:id="rId5"/>
  </sheets>
  <definedNames>
    <definedName name="_xlnm.Print_Area" localSheetId="2">'Augustine, 1986_plot'!$A$1:$P$311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1" i="5" l="1"/>
  <c r="N311" i="5"/>
  <c r="M311" i="5"/>
  <c r="L311" i="5"/>
  <c r="K311" i="5"/>
  <c r="J311" i="5"/>
  <c r="I311" i="5"/>
  <c r="H311" i="5"/>
  <c r="G311" i="5"/>
  <c r="F311" i="5"/>
  <c r="E311" i="5"/>
  <c r="D311" i="5"/>
  <c r="C311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O300" i="5"/>
  <c r="O299" i="5"/>
  <c r="O298" i="5"/>
  <c r="O297" i="5"/>
  <c r="O296" i="5"/>
  <c r="O295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O257" i="5"/>
  <c r="O256" i="5"/>
  <c r="O255" i="5"/>
  <c r="O254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O190" i="5"/>
  <c r="O189" i="5"/>
  <c r="O188" i="5"/>
  <c r="O187" i="5"/>
  <c r="O192" i="5" s="1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O141" i="5"/>
  <c r="O140" i="5"/>
  <c r="O139" i="5"/>
  <c r="O138" i="5"/>
  <c r="O143" i="5" s="1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N86" i="5"/>
  <c r="M86" i="5"/>
  <c r="L86" i="5"/>
  <c r="K86" i="5"/>
  <c r="J86" i="5"/>
  <c r="I86" i="5"/>
  <c r="H86" i="5"/>
  <c r="G86" i="5"/>
  <c r="F86" i="5"/>
  <c r="E86" i="5"/>
  <c r="D86" i="5"/>
  <c r="C86" i="5"/>
  <c r="N85" i="5"/>
  <c r="M85" i="5"/>
  <c r="L85" i="5"/>
  <c r="K85" i="5"/>
  <c r="J85" i="5"/>
  <c r="I85" i="5"/>
  <c r="H85" i="5"/>
  <c r="G85" i="5"/>
  <c r="F85" i="5"/>
  <c r="E85" i="5"/>
  <c r="D85" i="5"/>
  <c r="C85" i="5"/>
  <c r="O84" i="5"/>
  <c r="O83" i="5"/>
  <c r="O82" i="5"/>
  <c r="O81" i="5"/>
  <c r="O80" i="5"/>
  <c r="O79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M55" i="3"/>
  <c r="O301" i="5" l="1"/>
  <c r="O86" i="5"/>
  <c r="O259" i="5"/>
  <c r="O191" i="5"/>
  <c r="O302" i="5"/>
  <c r="O142" i="5"/>
  <c r="O85" i="5"/>
  <c r="O258" i="5"/>
  <c r="E251" i="3"/>
  <c r="E292" i="3"/>
  <c r="C301" i="3"/>
  <c r="C310" i="3"/>
  <c r="C142" i="3"/>
  <c r="C116" i="3"/>
  <c r="C221" i="3"/>
  <c r="C251" i="3"/>
  <c r="C258" i="3"/>
  <c r="C265" i="3"/>
  <c r="C292" i="3"/>
  <c r="D301" i="3"/>
  <c r="C198" i="3"/>
  <c r="C191" i="3"/>
  <c r="C185" i="3"/>
  <c r="C184" i="3"/>
  <c r="C161" i="3"/>
  <c r="C160" i="3"/>
  <c r="C150" i="3"/>
  <c r="C149" i="3"/>
  <c r="C143" i="3"/>
  <c r="C131" i="3"/>
  <c r="C94" i="3"/>
  <c r="C85" i="3"/>
  <c r="C68" i="3"/>
  <c r="C55" i="3"/>
  <c r="C35" i="3"/>
  <c r="C34" i="3"/>
  <c r="C25" i="3"/>
  <c r="D251" i="3"/>
  <c r="F251" i="3"/>
  <c r="G251" i="3"/>
  <c r="H251" i="3"/>
  <c r="I251" i="3"/>
  <c r="J251" i="3"/>
  <c r="K251" i="3"/>
  <c r="L251" i="3"/>
  <c r="M251" i="3"/>
  <c r="N251" i="3"/>
  <c r="O251" i="3"/>
  <c r="C199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C132" i="3"/>
  <c r="O266" i="3" l="1"/>
  <c r="N266" i="3"/>
  <c r="M266" i="3"/>
  <c r="L266" i="3"/>
  <c r="K266" i="3"/>
  <c r="J266" i="3"/>
  <c r="I266" i="3"/>
  <c r="H266" i="3"/>
  <c r="G266" i="3"/>
  <c r="F266" i="3"/>
  <c r="E266" i="3"/>
  <c r="D266" i="3"/>
  <c r="C266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O257" i="3"/>
  <c r="O256" i="3"/>
  <c r="O255" i="3"/>
  <c r="O254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N191" i="3"/>
  <c r="M191" i="3"/>
  <c r="L191" i="3"/>
  <c r="K191" i="3"/>
  <c r="J191" i="3"/>
  <c r="I191" i="3"/>
  <c r="H191" i="3"/>
  <c r="G191" i="3"/>
  <c r="F191" i="3"/>
  <c r="E191" i="3"/>
  <c r="D191" i="3"/>
  <c r="O190" i="3"/>
  <c r="O189" i="3"/>
  <c r="O188" i="3"/>
  <c r="O187" i="3"/>
  <c r="O192" i="3" l="1"/>
  <c r="O191" i="3"/>
  <c r="N143" i="3" l="1"/>
  <c r="M143" i="3"/>
  <c r="L143" i="3"/>
  <c r="K143" i="3"/>
  <c r="J143" i="3"/>
  <c r="I143" i="3"/>
  <c r="H143" i="3"/>
  <c r="G143" i="3"/>
  <c r="F143" i="3"/>
  <c r="E143" i="3"/>
  <c r="D143" i="3"/>
  <c r="N142" i="3"/>
  <c r="M142" i="3"/>
  <c r="L142" i="3"/>
  <c r="K142" i="3"/>
  <c r="J142" i="3"/>
  <c r="I142" i="3"/>
  <c r="H142" i="3"/>
  <c r="G142" i="3"/>
  <c r="F142" i="3"/>
  <c r="E142" i="3"/>
  <c r="D142" i="3"/>
  <c r="O141" i="3"/>
  <c r="O140" i="3"/>
  <c r="O139" i="3"/>
  <c r="O138" i="3"/>
  <c r="K185" i="3"/>
  <c r="J184" i="3"/>
  <c r="I184" i="3"/>
  <c r="H185" i="3"/>
  <c r="N185" i="3"/>
  <c r="M185" i="3"/>
  <c r="H184" i="3"/>
  <c r="G184" i="3"/>
  <c r="F185" i="3"/>
  <c r="E185" i="3"/>
  <c r="O149" i="3"/>
  <c r="O150" i="3"/>
  <c r="O160" i="3"/>
  <c r="O161" i="3"/>
  <c r="O198" i="3"/>
  <c r="O199" i="3"/>
  <c r="O221" i="3"/>
  <c r="O222" i="3"/>
  <c r="O252" i="3"/>
  <c r="O292" i="3"/>
  <c r="O293" i="3"/>
  <c r="O310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N310" i="3"/>
  <c r="M310" i="3"/>
  <c r="L310" i="3"/>
  <c r="K310" i="3"/>
  <c r="J310" i="3"/>
  <c r="I310" i="3"/>
  <c r="H310" i="3"/>
  <c r="G310" i="3"/>
  <c r="F310" i="3"/>
  <c r="E310" i="3"/>
  <c r="D310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N292" i="3"/>
  <c r="M292" i="3"/>
  <c r="L292" i="3"/>
  <c r="K292" i="3"/>
  <c r="J292" i="3"/>
  <c r="I292" i="3"/>
  <c r="H292" i="3"/>
  <c r="G292" i="3"/>
  <c r="F292" i="3"/>
  <c r="D29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N221" i="3"/>
  <c r="M221" i="3"/>
  <c r="L221" i="3"/>
  <c r="K221" i="3"/>
  <c r="J221" i="3"/>
  <c r="I221" i="3"/>
  <c r="H221" i="3"/>
  <c r="G221" i="3"/>
  <c r="F221" i="3"/>
  <c r="E221" i="3"/>
  <c r="D221" i="3"/>
  <c r="N199" i="3"/>
  <c r="M199" i="3"/>
  <c r="L199" i="3"/>
  <c r="K199" i="3"/>
  <c r="J199" i="3"/>
  <c r="I199" i="3"/>
  <c r="H199" i="3"/>
  <c r="G199" i="3"/>
  <c r="F199" i="3"/>
  <c r="E199" i="3"/>
  <c r="D199" i="3"/>
  <c r="N198" i="3"/>
  <c r="M198" i="3"/>
  <c r="L198" i="3"/>
  <c r="K198" i="3"/>
  <c r="J198" i="3"/>
  <c r="I198" i="3"/>
  <c r="H198" i="3"/>
  <c r="G198" i="3"/>
  <c r="F198" i="3"/>
  <c r="E198" i="3"/>
  <c r="D198" i="3"/>
  <c r="L185" i="3"/>
  <c r="I185" i="3"/>
  <c r="G185" i="3"/>
  <c r="D185" i="3"/>
  <c r="N184" i="3"/>
  <c r="L184" i="3"/>
  <c r="K184" i="3"/>
  <c r="F184" i="3"/>
  <c r="D184" i="3"/>
  <c r="N161" i="3"/>
  <c r="M161" i="3"/>
  <c r="L161" i="3"/>
  <c r="K161" i="3"/>
  <c r="J161" i="3"/>
  <c r="I161" i="3"/>
  <c r="H161" i="3"/>
  <c r="G161" i="3"/>
  <c r="F161" i="3"/>
  <c r="E161" i="3"/>
  <c r="D161" i="3"/>
  <c r="N160" i="3"/>
  <c r="M160" i="3"/>
  <c r="L160" i="3"/>
  <c r="K160" i="3"/>
  <c r="J160" i="3"/>
  <c r="I160" i="3"/>
  <c r="H160" i="3"/>
  <c r="G160" i="3"/>
  <c r="F160" i="3"/>
  <c r="E160" i="3"/>
  <c r="D160" i="3"/>
  <c r="N150" i="3"/>
  <c r="M150" i="3"/>
  <c r="L150" i="3"/>
  <c r="K150" i="3"/>
  <c r="J150" i="3"/>
  <c r="I150" i="3"/>
  <c r="H150" i="3"/>
  <c r="G150" i="3"/>
  <c r="F150" i="3"/>
  <c r="E150" i="3"/>
  <c r="D150" i="3"/>
  <c r="N149" i="3"/>
  <c r="M149" i="3"/>
  <c r="L149" i="3"/>
  <c r="K149" i="3"/>
  <c r="J149" i="3"/>
  <c r="I149" i="3"/>
  <c r="H149" i="3"/>
  <c r="G149" i="3"/>
  <c r="F149" i="3"/>
  <c r="E149" i="3"/>
  <c r="D149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O94" i="3"/>
  <c r="N94" i="3"/>
  <c r="M94" i="3"/>
  <c r="L94" i="3"/>
  <c r="K94" i="3"/>
  <c r="J94" i="3"/>
  <c r="I94" i="3"/>
  <c r="H94" i="3"/>
  <c r="G94" i="3"/>
  <c r="F94" i="3"/>
  <c r="E94" i="3"/>
  <c r="D94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N301" i="3"/>
  <c r="M301" i="3"/>
  <c r="L301" i="3"/>
  <c r="K301" i="3"/>
  <c r="J301" i="3"/>
  <c r="I301" i="3"/>
  <c r="H301" i="3"/>
  <c r="G301" i="3"/>
  <c r="F301" i="3"/>
  <c r="E301" i="3"/>
  <c r="O300" i="3"/>
  <c r="O299" i="3"/>
  <c r="O298" i="3"/>
  <c r="O297" i="3"/>
  <c r="O296" i="3"/>
  <c r="O295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N258" i="3"/>
  <c r="M258" i="3"/>
  <c r="L258" i="3"/>
  <c r="K258" i="3"/>
  <c r="J258" i="3"/>
  <c r="I258" i="3"/>
  <c r="H258" i="3"/>
  <c r="G258" i="3"/>
  <c r="F258" i="3"/>
  <c r="E258" i="3"/>
  <c r="D258" i="3"/>
  <c r="N86" i="3"/>
  <c r="M86" i="3"/>
  <c r="L86" i="3"/>
  <c r="K86" i="3"/>
  <c r="J86" i="3"/>
  <c r="I86" i="3"/>
  <c r="H86" i="3"/>
  <c r="G86" i="3"/>
  <c r="F86" i="3"/>
  <c r="E86" i="3"/>
  <c r="D86" i="3"/>
  <c r="C86" i="3"/>
  <c r="N85" i="3"/>
  <c r="M85" i="3"/>
  <c r="L85" i="3"/>
  <c r="K85" i="3"/>
  <c r="J85" i="3"/>
  <c r="I85" i="3"/>
  <c r="H85" i="3"/>
  <c r="G85" i="3"/>
  <c r="F85" i="3"/>
  <c r="E85" i="3"/>
  <c r="D85" i="3"/>
  <c r="O84" i="3"/>
  <c r="O83" i="3"/>
  <c r="O82" i="3"/>
  <c r="O81" i="3"/>
  <c r="O80" i="3"/>
  <c r="O79" i="3"/>
  <c r="O143" i="3" l="1"/>
  <c r="O142" i="3"/>
  <c r="E184" i="3"/>
  <c r="M184" i="3"/>
  <c r="J185" i="3"/>
  <c r="O302" i="3"/>
  <c r="O86" i="3"/>
  <c r="O85" i="3"/>
  <c r="O259" i="3"/>
  <c r="O258" i="3"/>
  <c r="O301" i="3"/>
  <c r="O184" i="3" l="1"/>
  <c r="O185" i="3"/>
  <c r="O55" i="3" l="1"/>
  <c r="O56" i="3"/>
  <c r="D55" i="3"/>
  <c r="E55" i="3"/>
  <c r="F55" i="3"/>
  <c r="G55" i="3"/>
  <c r="H55" i="3"/>
  <c r="I55" i="3"/>
  <c r="J55" i="3"/>
  <c r="K55" i="3"/>
  <c r="L55" i="3"/>
  <c r="N55" i="3"/>
  <c r="D56" i="3"/>
  <c r="E56" i="3"/>
  <c r="F56" i="3"/>
  <c r="G56" i="3"/>
  <c r="H56" i="3"/>
  <c r="I56" i="3"/>
  <c r="J56" i="3"/>
  <c r="K56" i="3"/>
  <c r="L56" i="3"/>
  <c r="M56" i="3"/>
  <c r="N56" i="3"/>
  <c r="C56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O68" i="3"/>
  <c r="N68" i="3"/>
  <c r="M68" i="3"/>
  <c r="L68" i="3"/>
  <c r="K68" i="3"/>
  <c r="J68" i="3"/>
  <c r="I68" i="3"/>
  <c r="H68" i="3"/>
  <c r="G68" i="3"/>
  <c r="F68" i="3"/>
  <c r="E68" i="3"/>
  <c r="D68" i="3"/>
  <c r="O35" i="3"/>
  <c r="N35" i="3"/>
  <c r="M35" i="3"/>
  <c r="L35" i="3"/>
  <c r="K35" i="3"/>
  <c r="J35" i="3"/>
  <c r="I35" i="3"/>
  <c r="H35" i="3"/>
  <c r="G35" i="3"/>
  <c r="F35" i="3"/>
  <c r="E35" i="3"/>
  <c r="D35" i="3"/>
  <c r="O34" i="3"/>
  <c r="N34" i="3"/>
  <c r="M34" i="3"/>
  <c r="L34" i="3"/>
  <c r="K34" i="3"/>
  <c r="J34" i="3"/>
  <c r="I34" i="3"/>
  <c r="H34" i="3"/>
  <c r="G34" i="3"/>
  <c r="F34" i="3"/>
  <c r="E34" i="3"/>
  <c r="D34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O25" i="3"/>
  <c r="N25" i="3"/>
  <c r="M25" i="3"/>
  <c r="L25" i="3"/>
  <c r="K25" i="3"/>
  <c r="J25" i="3"/>
  <c r="I25" i="3"/>
  <c r="H25" i="3"/>
  <c r="G25" i="3"/>
  <c r="F25" i="3"/>
  <c r="E25" i="3"/>
  <c r="D25" i="3"/>
  <c r="J86" i="2" l="1"/>
  <c r="K139" i="2"/>
  <c r="L139" i="2"/>
  <c r="K153" i="2"/>
  <c r="G186" i="2"/>
  <c r="J207" i="2"/>
  <c r="I234" i="2"/>
  <c r="H259" i="2"/>
  <c r="K323" i="2"/>
  <c r="M337" i="2"/>
  <c r="J369" i="2"/>
  <c r="G387" i="2"/>
  <c r="I418" i="2"/>
  <c r="I425" i="2"/>
  <c r="G432" i="2"/>
  <c r="G447" i="2"/>
  <c r="E461" i="2"/>
  <c r="E470" i="2"/>
  <c r="E480" i="2"/>
  <c r="E338" i="2"/>
  <c r="E337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Q337" i="2"/>
  <c r="P337" i="2"/>
  <c r="O337" i="2"/>
  <c r="N337" i="2"/>
  <c r="L337" i="2"/>
  <c r="K337" i="2"/>
  <c r="J337" i="2"/>
  <c r="I337" i="2"/>
  <c r="H337" i="2"/>
  <c r="G337" i="2"/>
  <c r="F337" i="2"/>
  <c r="F330" i="2"/>
  <c r="G330" i="2"/>
  <c r="H330" i="2"/>
  <c r="I330" i="2"/>
  <c r="J330" i="2"/>
  <c r="K330" i="2"/>
  <c r="L330" i="2"/>
  <c r="M330" i="2"/>
  <c r="N330" i="2"/>
  <c r="O330" i="2"/>
  <c r="P330" i="2"/>
  <c r="F331" i="2"/>
  <c r="G331" i="2"/>
  <c r="H331" i="2"/>
  <c r="I331" i="2"/>
  <c r="J331" i="2"/>
  <c r="K331" i="2"/>
  <c r="L331" i="2"/>
  <c r="M331" i="2"/>
  <c r="N331" i="2"/>
  <c r="O331" i="2"/>
  <c r="P331" i="2"/>
  <c r="E331" i="2"/>
  <c r="E330" i="2"/>
  <c r="P94" i="2"/>
  <c r="O94" i="2"/>
  <c r="N94" i="2"/>
  <c r="M94" i="2"/>
  <c r="L94" i="2"/>
  <c r="K94" i="2"/>
  <c r="J94" i="2"/>
  <c r="I94" i="2"/>
  <c r="H94" i="2"/>
  <c r="G94" i="2"/>
  <c r="F94" i="2"/>
  <c r="E94" i="2"/>
  <c r="P93" i="2"/>
  <c r="O93" i="2"/>
  <c r="N93" i="2"/>
  <c r="M93" i="2"/>
  <c r="L93" i="2"/>
  <c r="K93" i="2"/>
  <c r="J93" i="2"/>
  <c r="I93" i="2"/>
  <c r="H93" i="2"/>
  <c r="G93" i="2"/>
  <c r="F93" i="2"/>
  <c r="E93" i="2"/>
  <c r="Q92" i="2"/>
  <c r="Q91" i="2"/>
  <c r="Q90" i="2"/>
  <c r="Q89" i="2"/>
  <c r="E369" i="2"/>
  <c r="E479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P470" i="2"/>
  <c r="O470" i="2"/>
  <c r="N470" i="2"/>
  <c r="M470" i="2"/>
  <c r="L470" i="2"/>
  <c r="K470" i="2"/>
  <c r="J470" i="2"/>
  <c r="I470" i="2"/>
  <c r="H470" i="2"/>
  <c r="G470" i="2"/>
  <c r="F470" i="2"/>
  <c r="Q469" i="2"/>
  <c r="Q466" i="2"/>
  <c r="Q465" i="2"/>
  <c r="Q464" i="2"/>
  <c r="Q468" i="2"/>
  <c r="Q467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Q447" i="2"/>
  <c r="P447" i="2"/>
  <c r="O447" i="2"/>
  <c r="N447" i="2"/>
  <c r="M447" i="2"/>
  <c r="L447" i="2"/>
  <c r="K447" i="2"/>
  <c r="J447" i="2"/>
  <c r="I447" i="2"/>
  <c r="H447" i="2"/>
  <c r="F447" i="2"/>
  <c r="E447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Q432" i="2"/>
  <c r="P432" i="2"/>
  <c r="O432" i="2"/>
  <c r="N432" i="2"/>
  <c r="M432" i="2"/>
  <c r="L432" i="2"/>
  <c r="K432" i="2"/>
  <c r="J432" i="2"/>
  <c r="I432" i="2"/>
  <c r="H432" i="2"/>
  <c r="F432" i="2"/>
  <c r="E432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P425" i="2"/>
  <c r="O425" i="2"/>
  <c r="N425" i="2"/>
  <c r="M425" i="2"/>
  <c r="L425" i="2"/>
  <c r="K425" i="2"/>
  <c r="J425" i="2"/>
  <c r="H425" i="2"/>
  <c r="G425" i="2"/>
  <c r="F425" i="2"/>
  <c r="E425" i="2"/>
  <c r="Q424" i="2"/>
  <c r="Q423" i="2"/>
  <c r="Q422" i="2"/>
  <c r="Q421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Q418" i="2"/>
  <c r="P418" i="2"/>
  <c r="O418" i="2"/>
  <c r="N418" i="2"/>
  <c r="M418" i="2"/>
  <c r="L418" i="2"/>
  <c r="K418" i="2"/>
  <c r="J418" i="2"/>
  <c r="H418" i="2"/>
  <c r="G418" i="2"/>
  <c r="F418" i="2"/>
  <c r="E418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E391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Q387" i="2"/>
  <c r="P387" i="2"/>
  <c r="O387" i="2"/>
  <c r="N387" i="2"/>
  <c r="M387" i="2"/>
  <c r="L387" i="2"/>
  <c r="K387" i="2"/>
  <c r="J387" i="2"/>
  <c r="I387" i="2"/>
  <c r="H387" i="2"/>
  <c r="F387" i="2"/>
  <c r="E387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Q369" i="2"/>
  <c r="P369" i="2"/>
  <c r="O369" i="2"/>
  <c r="N369" i="2"/>
  <c r="M369" i="2"/>
  <c r="L369" i="2"/>
  <c r="K369" i="2"/>
  <c r="I369" i="2"/>
  <c r="H369" i="2"/>
  <c r="G369" i="2"/>
  <c r="F369" i="2"/>
  <c r="Q328" i="2"/>
  <c r="Q327" i="2"/>
  <c r="Q329" i="2"/>
  <c r="Q326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Q323" i="2"/>
  <c r="P323" i="2"/>
  <c r="O323" i="2"/>
  <c r="N323" i="2"/>
  <c r="M323" i="2"/>
  <c r="L323" i="2"/>
  <c r="J323" i="2"/>
  <c r="I323" i="2"/>
  <c r="H323" i="2"/>
  <c r="G323" i="2"/>
  <c r="F323" i="2"/>
  <c r="E32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Q259" i="2"/>
  <c r="P259" i="2"/>
  <c r="O259" i="2"/>
  <c r="N259" i="2"/>
  <c r="M259" i="2"/>
  <c r="L259" i="2"/>
  <c r="K259" i="2"/>
  <c r="J259" i="2"/>
  <c r="I259" i="2"/>
  <c r="G259" i="2"/>
  <c r="F259" i="2"/>
  <c r="E259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Q234" i="2"/>
  <c r="P234" i="2"/>
  <c r="O234" i="2"/>
  <c r="N234" i="2"/>
  <c r="M234" i="2"/>
  <c r="L234" i="2"/>
  <c r="K234" i="2"/>
  <c r="J234" i="2"/>
  <c r="H234" i="2"/>
  <c r="G234" i="2"/>
  <c r="F234" i="2"/>
  <c r="E234" i="2"/>
  <c r="G56" i="2"/>
  <c r="F56" i="2"/>
  <c r="H56" i="2"/>
  <c r="I56" i="2"/>
  <c r="J56" i="2"/>
  <c r="K56" i="2"/>
  <c r="L56" i="2"/>
  <c r="M56" i="2"/>
  <c r="N56" i="2"/>
  <c r="O56" i="2"/>
  <c r="P56" i="2"/>
  <c r="Q56" i="2"/>
  <c r="F57" i="2"/>
  <c r="G57" i="2"/>
  <c r="H57" i="2"/>
  <c r="I57" i="2"/>
  <c r="J57" i="2"/>
  <c r="K57" i="2"/>
  <c r="L57" i="2"/>
  <c r="M57" i="2"/>
  <c r="N57" i="2"/>
  <c r="O57" i="2"/>
  <c r="P57" i="2"/>
  <c r="Q57" i="2"/>
  <c r="E57" i="2"/>
  <c r="E56" i="2"/>
  <c r="G87" i="2"/>
  <c r="F87" i="2"/>
  <c r="E87" i="2"/>
  <c r="L86" i="2"/>
  <c r="K86" i="2"/>
  <c r="I8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Q215" i="2"/>
  <c r="Q214" i="2"/>
  <c r="Q213" i="2"/>
  <c r="Q212" i="2"/>
  <c r="Q211" i="2"/>
  <c r="Q210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Q207" i="2"/>
  <c r="P207" i="2"/>
  <c r="O207" i="2"/>
  <c r="N207" i="2"/>
  <c r="M207" i="2"/>
  <c r="L207" i="2"/>
  <c r="K207" i="2"/>
  <c r="I207" i="2"/>
  <c r="H207" i="2"/>
  <c r="G207" i="2"/>
  <c r="F207" i="2"/>
  <c r="E20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Q186" i="2"/>
  <c r="P186" i="2"/>
  <c r="O186" i="2"/>
  <c r="N186" i="2"/>
  <c r="M186" i="2"/>
  <c r="L186" i="2"/>
  <c r="K186" i="2"/>
  <c r="J186" i="2"/>
  <c r="I186" i="2"/>
  <c r="H186" i="2"/>
  <c r="F186" i="2"/>
  <c r="E186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Q153" i="2"/>
  <c r="P153" i="2"/>
  <c r="O153" i="2"/>
  <c r="N153" i="2"/>
  <c r="M153" i="2"/>
  <c r="L153" i="2"/>
  <c r="J153" i="2"/>
  <c r="I153" i="2"/>
  <c r="H153" i="2"/>
  <c r="G153" i="2"/>
  <c r="F153" i="2"/>
  <c r="E153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Q142" i="2"/>
  <c r="Q144" i="2"/>
  <c r="Q145" i="2"/>
  <c r="Q143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Q139" i="2"/>
  <c r="P139" i="2"/>
  <c r="O139" i="2"/>
  <c r="N139" i="2"/>
  <c r="M139" i="2"/>
  <c r="J139" i="2"/>
  <c r="I139" i="2"/>
  <c r="H139" i="2"/>
  <c r="G139" i="2"/>
  <c r="F139" i="2"/>
  <c r="E139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Q87" i="2"/>
  <c r="P87" i="2"/>
  <c r="O87" i="2"/>
  <c r="N87" i="2"/>
  <c r="M87" i="2"/>
  <c r="H87" i="2"/>
  <c r="Q86" i="2"/>
  <c r="P86" i="2"/>
  <c r="O86" i="2"/>
  <c r="N86" i="2"/>
  <c r="M86" i="2"/>
  <c r="H86" i="2"/>
  <c r="G86" i="2"/>
  <c r="F86" i="2"/>
  <c r="E86" i="2"/>
  <c r="Q19" i="2"/>
  <c r="Q20" i="2"/>
  <c r="Q21" i="2"/>
  <c r="Q22" i="2"/>
  <c r="Q23" i="2"/>
  <c r="Q24" i="2"/>
  <c r="E25" i="2"/>
  <c r="F25" i="2"/>
  <c r="G25" i="2"/>
  <c r="H25" i="2"/>
  <c r="I25" i="2"/>
  <c r="J25" i="2"/>
  <c r="K25" i="2"/>
  <c r="L25" i="2"/>
  <c r="M25" i="2"/>
  <c r="N25" i="2"/>
  <c r="O25" i="2"/>
  <c r="P25" i="2"/>
  <c r="E26" i="2"/>
  <c r="F26" i="2"/>
  <c r="G26" i="2"/>
  <c r="H26" i="2"/>
  <c r="I26" i="2"/>
  <c r="J26" i="2"/>
  <c r="K26" i="2"/>
  <c r="L26" i="2"/>
  <c r="M26" i="2"/>
  <c r="N26" i="2"/>
  <c r="O26" i="2"/>
  <c r="P26" i="2"/>
  <c r="I87" i="2"/>
  <c r="J87" i="2"/>
  <c r="L87" i="2"/>
  <c r="K87" i="2"/>
  <c r="C105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O168" i="1"/>
  <c r="O167" i="1"/>
  <c r="O166" i="1"/>
  <c r="O165" i="1"/>
  <c r="O164" i="1"/>
  <c r="O163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N105" i="1"/>
  <c r="M105" i="1"/>
  <c r="L105" i="1"/>
  <c r="K105" i="1"/>
  <c r="J105" i="1"/>
  <c r="I105" i="1"/>
  <c r="H105" i="1"/>
  <c r="G105" i="1"/>
  <c r="F105" i="1"/>
  <c r="E105" i="1"/>
  <c r="D105" i="1"/>
  <c r="O104" i="1"/>
  <c r="O103" i="1"/>
  <c r="O102" i="1"/>
  <c r="O101" i="1"/>
  <c r="O100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N26" i="1"/>
  <c r="M26" i="1"/>
  <c r="L26" i="1"/>
  <c r="K26" i="1"/>
  <c r="J26" i="1"/>
  <c r="I26" i="1"/>
  <c r="H26" i="1"/>
  <c r="G26" i="1"/>
  <c r="F26" i="1"/>
  <c r="E26" i="1"/>
  <c r="D26" i="1"/>
  <c r="C26" i="1"/>
  <c r="N25" i="1"/>
  <c r="M25" i="1"/>
  <c r="L25" i="1"/>
  <c r="K25" i="1"/>
  <c r="J25" i="1"/>
  <c r="I25" i="1"/>
  <c r="H25" i="1"/>
  <c r="G25" i="1"/>
  <c r="F25" i="1"/>
  <c r="E25" i="1"/>
  <c r="D25" i="1"/>
  <c r="C25" i="1"/>
  <c r="O24" i="1"/>
  <c r="O23" i="1"/>
  <c r="O22" i="1"/>
  <c r="O21" i="1"/>
  <c r="O20" i="1"/>
  <c r="O19" i="1"/>
  <c r="Q331" i="2" l="1"/>
  <c r="O105" i="1"/>
  <c r="O25" i="1"/>
  <c r="Q330" i="2"/>
  <c r="K391" i="2"/>
  <c r="Q94" i="2"/>
  <c r="O170" i="1"/>
  <c r="O169" i="1"/>
  <c r="O26" i="1"/>
  <c r="O106" i="1"/>
  <c r="M391" i="2"/>
  <c r="F391" i="2"/>
  <c r="N391" i="2"/>
  <c r="I391" i="2"/>
  <c r="J391" i="2"/>
  <c r="Q426" i="2"/>
  <c r="Q93" i="2"/>
  <c r="Q147" i="2"/>
  <c r="Q391" i="2"/>
  <c r="L391" i="2"/>
  <c r="G391" i="2"/>
  <c r="O391" i="2"/>
  <c r="Q470" i="2"/>
  <c r="Q425" i="2"/>
  <c r="H391" i="2"/>
  <c r="Q26" i="2"/>
  <c r="Q217" i="2"/>
  <c r="Q25" i="2"/>
  <c r="P391" i="2"/>
  <c r="Q146" i="2"/>
  <c r="Q471" i="2"/>
  <c r="Q216" i="2"/>
</calcChain>
</file>

<file path=xl/sharedStrings.xml><?xml version="1.0" encoding="utf-8"?>
<sst xmlns="http://schemas.openxmlformats.org/spreadsheetml/2006/main" count="1462" uniqueCount="609">
  <si>
    <t>Supplementary Table: Glass and secondary standard analyses for tephra presented in study</t>
  </si>
  <si>
    <t>Instrument</t>
  </si>
  <si>
    <t xml:space="preserve">Measurement time </t>
  </si>
  <si>
    <t>Secondary stanadard data for ID 3506 (Lipari obsidian) is presented non-normalized, while Old Crow data is normalized. Accepted values from Kuehn et al. 2011</t>
  </si>
  <si>
    <t>Analyses are presented in order, i.e., secondary standard data was collected bracketting the tephra samples.</t>
  </si>
  <si>
    <t>Standard</t>
  </si>
  <si>
    <t>Cl</t>
  </si>
  <si>
    <t xml:space="preserve">   TOTAL</t>
  </si>
  <si>
    <t>H2Od</t>
  </si>
  <si>
    <t>ID 3506</t>
  </si>
  <si>
    <t>Accepted</t>
  </si>
  <si>
    <t>Old Crow</t>
  </si>
  <si>
    <t>FeOt</t>
  </si>
  <si>
    <t xml:space="preserve">MnO   </t>
  </si>
  <si>
    <t xml:space="preserve">MgO   </t>
  </si>
  <si>
    <t xml:space="preserve">CaO   </t>
  </si>
  <si>
    <t>JEOL 8900R Superprobe with 5 wavelength dispersive spectrometers at the University of Alberta</t>
  </si>
  <si>
    <t>Operating conditions</t>
  </si>
  <si>
    <t>Analysis date</t>
  </si>
  <si>
    <t>November 16 2023</t>
  </si>
  <si>
    <t>Mean</t>
  </si>
  <si>
    <t>StDev</t>
  </si>
  <si>
    <t>H2Odiff</t>
  </si>
  <si>
    <t>ID3506 1</t>
  </si>
  <si>
    <t>ID3506 2</t>
  </si>
  <si>
    <t>ID3506 3</t>
  </si>
  <si>
    <t>ID3506 4</t>
  </si>
  <si>
    <t>ID3506 5</t>
  </si>
  <si>
    <t>ID3506 6</t>
  </si>
  <si>
    <t>Old Crow 1</t>
  </si>
  <si>
    <t>Old Crow 2</t>
  </si>
  <si>
    <t>Old Crow 3</t>
  </si>
  <si>
    <t>Old Crow 4</t>
  </si>
  <si>
    <t>Old Crow 5</t>
  </si>
  <si>
    <t>Old Crow 6</t>
  </si>
  <si>
    <t>ID3506 7</t>
  </si>
  <si>
    <t>ID3506 8</t>
  </si>
  <si>
    <t>ID3506 9</t>
  </si>
  <si>
    <t>ID3506 10</t>
  </si>
  <si>
    <t>ID3506 11</t>
  </si>
  <si>
    <t>Old Crow 7</t>
  </si>
  <si>
    <t>Old Crow 8</t>
  </si>
  <si>
    <t>Old Crow 9</t>
  </si>
  <si>
    <t>Old Crow 10</t>
  </si>
  <si>
    <t>Old Crow 11</t>
  </si>
  <si>
    <t>ID3506 12</t>
  </si>
  <si>
    <t>ID3506 13</t>
  </si>
  <si>
    <t>ID3506 14</t>
  </si>
  <si>
    <t>ID3506 15</t>
  </si>
  <si>
    <t>ID3506 16</t>
  </si>
  <si>
    <t>ID3506 17</t>
  </si>
  <si>
    <t>Old Crow 12</t>
  </si>
  <si>
    <t>Old Crow 13</t>
  </si>
  <si>
    <t>Old Crow 14</t>
  </si>
  <si>
    <t>Old Crow 15</t>
  </si>
  <si>
    <t>Old Crow 16</t>
  </si>
  <si>
    <t>Old Crow 17</t>
  </si>
  <si>
    <t>Sample</t>
  </si>
  <si>
    <t>Total</t>
  </si>
  <si>
    <t>Bottom depth (m)</t>
  </si>
  <si>
    <t>Top depth (m)</t>
  </si>
  <si>
    <t>St. Dev</t>
  </si>
  <si>
    <t>ID3506 18</t>
  </si>
  <si>
    <t>ID3506 19</t>
  </si>
  <si>
    <t>ID3506 20</t>
  </si>
  <si>
    <t>Old Crow 20</t>
  </si>
  <si>
    <t>Old Crow 19</t>
  </si>
  <si>
    <t>Old Crow 18</t>
  </si>
  <si>
    <t>July 25 2024</t>
  </si>
  <si>
    <t>30 seconds on peak and 10 seconds background for all oxides</t>
  </si>
  <si>
    <t>Unknowns ran alongside a Katmai-Novarupta reference from Kodiak Island (UA1364)</t>
  </si>
  <si>
    <t>August 9 2024</t>
  </si>
  <si>
    <t>CFA Run 267</t>
  </si>
  <si>
    <t>CFA Run 266</t>
  </si>
  <si>
    <t>UA 4396 1</t>
  </si>
  <si>
    <t>July 19 2024</t>
  </si>
  <si>
    <t>November 6 2024</t>
  </si>
  <si>
    <t>CFA Run 125</t>
  </si>
  <si>
    <t>124.54 - 125.5 m</t>
  </si>
  <si>
    <t>255.57 - 256.59 m</t>
  </si>
  <si>
    <t>254.54 - 255.57 m</t>
  </si>
  <si>
    <t>Augustine 1976 reference</t>
  </si>
  <si>
    <t>Augustine 1986 reference</t>
  </si>
  <si>
    <t>15KeV accelerating voltage, 6nA current and 5 μm beam. Probe for Windows (Donovan, 2015) time-dependent intensity corrections were used to compensate for Na-loss with 5 μm electron beam analyses.</t>
  </si>
  <si>
    <t>Analyses are presented in order, i.e., secondary standards bracektted the unknown ice core samples.</t>
  </si>
  <si>
    <r>
      <t>SiO</t>
    </r>
    <r>
      <rPr>
        <b/>
        <vertAlign val="subscript"/>
        <sz val="12"/>
        <rFont val="Arial"/>
        <family val="2"/>
      </rPr>
      <t>2</t>
    </r>
  </si>
  <si>
    <r>
      <t>TiO</t>
    </r>
    <r>
      <rPr>
        <b/>
        <vertAlign val="subscript"/>
        <sz val="12"/>
        <rFont val="Arial"/>
        <family val="2"/>
      </rPr>
      <t>2</t>
    </r>
  </si>
  <si>
    <r>
      <t>Al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>O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 xml:space="preserve"> </t>
    </r>
  </si>
  <si>
    <r>
      <t>Na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O  </t>
    </r>
  </si>
  <si>
    <r>
      <t>K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O   </t>
    </r>
  </si>
  <si>
    <r>
      <t>P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>O</t>
    </r>
    <r>
      <rPr>
        <b/>
        <vertAlign val="subscript"/>
        <sz val="12"/>
        <rFont val="Arial"/>
        <family val="2"/>
      </rPr>
      <t>5</t>
    </r>
  </si>
  <si>
    <t>Unknowns ran alongside Augustine 1976 (UT692, UT695, and UT700) and Augustine 1986 (UT682, UT683, UT691, and UT699) reference samples from Fairbanks, Alaska.</t>
  </si>
  <si>
    <t>UA 4188-8</t>
  </si>
  <si>
    <t>UA 4188-21</t>
  </si>
  <si>
    <t>UA 4188-19</t>
  </si>
  <si>
    <t>UA 4188-3</t>
  </si>
  <si>
    <t>UA 4188-43</t>
  </si>
  <si>
    <t>UA 4188-2</t>
  </si>
  <si>
    <t>UA 4188-4</t>
  </si>
  <si>
    <t>UA 4188-23</t>
  </si>
  <si>
    <t>UA 4188-33</t>
  </si>
  <si>
    <t>UA 4188-37</t>
  </si>
  <si>
    <t>UA 4188-40</t>
  </si>
  <si>
    <t>UA 4188-18</t>
  </si>
  <si>
    <t>UA 4188-44</t>
  </si>
  <si>
    <t>UA 4188-36</t>
  </si>
  <si>
    <t>UA 4188-6</t>
  </si>
  <si>
    <t>UA 4188-41</t>
  </si>
  <si>
    <t>UA 4188-27</t>
  </si>
  <si>
    <t>UA 4188-5</t>
  </si>
  <si>
    <t>UA 4188-9</t>
  </si>
  <si>
    <t>UA 4188-17</t>
  </si>
  <si>
    <t>UA 4188-34</t>
  </si>
  <si>
    <t>UA 4188-32</t>
  </si>
  <si>
    <t>UT 692-5</t>
  </si>
  <si>
    <t>UT 692-19</t>
  </si>
  <si>
    <t>UT 692-30</t>
  </si>
  <si>
    <t>UT 692-22</t>
  </si>
  <si>
    <t>UT 692-14</t>
  </si>
  <si>
    <t>UT 692-24</t>
  </si>
  <si>
    <t>UT 692-9</t>
  </si>
  <si>
    <t>UT 692-25</t>
  </si>
  <si>
    <t>UT 692-29</t>
  </si>
  <si>
    <t>UT 692-1</t>
  </si>
  <si>
    <t>UT 692-3</t>
  </si>
  <si>
    <t>UT 692-4</t>
  </si>
  <si>
    <t>UT 692-13</t>
  </si>
  <si>
    <t>UT 692-10</t>
  </si>
  <si>
    <t>UT 692-16</t>
  </si>
  <si>
    <t>UT 692-21</t>
  </si>
  <si>
    <t>UT 692-8</t>
  </si>
  <si>
    <t>UT 692-26</t>
  </si>
  <si>
    <t>UT 692-6</t>
  </si>
  <si>
    <t>UT 695-5</t>
  </si>
  <si>
    <t>UT 695-28</t>
  </si>
  <si>
    <t>UT 695-25</t>
  </si>
  <si>
    <t>UT 695-2</t>
  </si>
  <si>
    <t>UT 695-21</t>
  </si>
  <si>
    <t>UT 695-14</t>
  </si>
  <si>
    <t>UT 695-15</t>
  </si>
  <si>
    <t>UT 695-10</t>
  </si>
  <si>
    <t>UT 695-6</t>
  </si>
  <si>
    <t>UT 695-1</t>
  </si>
  <si>
    <t>UT 695-24</t>
  </si>
  <si>
    <t>UT 695-7</t>
  </si>
  <si>
    <t>UT 695-31</t>
  </si>
  <si>
    <t>UT 700-2</t>
  </si>
  <si>
    <t>UT 700-30</t>
  </si>
  <si>
    <t>UT 700-16</t>
  </si>
  <si>
    <t>UT 700-18</t>
  </si>
  <si>
    <t>UT 700-21</t>
  </si>
  <si>
    <t>UT 700-17</t>
  </si>
  <si>
    <t>UT 700-24</t>
  </si>
  <si>
    <t>UT 700-12</t>
  </si>
  <si>
    <t>UT 700-15</t>
  </si>
  <si>
    <t>UT 682-4</t>
  </si>
  <si>
    <t>UT 682-28</t>
  </si>
  <si>
    <t>UT 682-20</t>
  </si>
  <si>
    <t>UT 682-23</t>
  </si>
  <si>
    <t>UT 682-17</t>
  </si>
  <si>
    <t>UT 682-9</t>
  </si>
  <si>
    <t>UT 682-16</t>
  </si>
  <si>
    <t>UT 682-18</t>
  </si>
  <si>
    <t>UT 682-8</t>
  </si>
  <si>
    <t>UT 682-1</t>
  </si>
  <si>
    <t>UT 682-11</t>
  </si>
  <si>
    <t>UT 682-21</t>
  </si>
  <si>
    <t>UT 682-13</t>
  </si>
  <si>
    <t>UT 682-15</t>
  </si>
  <si>
    <t>UT 682-22</t>
  </si>
  <si>
    <t>UT 682-27</t>
  </si>
  <si>
    <t>UT 682-30</t>
  </si>
  <si>
    <t>UT 682-3</t>
  </si>
  <si>
    <t>UT 682-10</t>
  </si>
  <si>
    <t>UT 682-19</t>
  </si>
  <si>
    <t>UT 683-24</t>
  </si>
  <si>
    <t>UT 683-20</t>
  </si>
  <si>
    <t>UT 683-18</t>
  </si>
  <si>
    <t>UT 683-11</t>
  </si>
  <si>
    <t>UT 683-2</t>
  </si>
  <si>
    <t>UT 683-22</t>
  </si>
  <si>
    <t>UT 683-6</t>
  </si>
  <si>
    <t>UT 683-29</t>
  </si>
  <si>
    <t>UT 683-14</t>
  </si>
  <si>
    <t>UT 683-10</t>
  </si>
  <si>
    <t>UT 683-7</t>
  </si>
  <si>
    <t>UT 683-3</t>
  </si>
  <si>
    <t>UT 683-8</t>
  </si>
  <si>
    <t>UT 683-12</t>
  </si>
  <si>
    <t>UT 683-4</t>
  </si>
  <si>
    <t>UT 683-15</t>
  </si>
  <si>
    <t>UT 683-25</t>
  </si>
  <si>
    <t>UT 683-5</t>
  </si>
  <si>
    <t>UT 683-26</t>
  </si>
  <si>
    <t>UT 683-23</t>
  </si>
  <si>
    <t>UT 683-1</t>
  </si>
  <si>
    <t>UT 691-27</t>
  </si>
  <si>
    <t>UT 691-13</t>
  </si>
  <si>
    <t>UT 691-17</t>
  </si>
  <si>
    <t>UT 691-30</t>
  </si>
  <si>
    <t>UT 691-10</t>
  </si>
  <si>
    <t>UT 691-16</t>
  </si>
  <si>
    <t>UT 691-3</t>
  </si>
  <si>
    <t>UT 691-6</t>
  </si>
  <si>
    <t>UT 691-18</t>
  </si>
  <si>
    <t>UT 691-15</t>
  </si>
  <si>
    <t>UT 691-8</t>
  </si>
  <si>
    <t>UT 691-29</t>
  </si>
  <si>
    <t>UT 691-14</t>
  </si>
  <si>
    <t>UT 691-4</t>
  </si>
  <si>
    <t>UT 691-28</t>
  </si>
  <si>
    <t>UT 691-23</t>
  </si>
  <si>
    <t>UT 691-21</t>
  </si>
  <si>
    <t>UT 691-24</t>
  </si>
  <si>
    <t>UT 691-26</t>
  </si>
  <si>
    <t>UT 691-20</t>
  </si>
  <si>
    <t>UT 691-25</t>
  </si>
  <si>
    <t>UT 691-7</t>
  </si>
  <si>
    <t>UT 691-12</t>
  </si>
  <si>
    <t>UT 691-2</t>
  </si>
  <si>
    <t>UT 691-1</t>
  </si>
  <si>
    <t>UT 699-2</t>
  </si>
  <si>
    <t>UT 699-9</t>
  </si>
  <si>
    <t>UT 699-8</t>
  </si>
  <si>
    <t>UT 699-30</t>
  </si>
  <si>
    <t>UT 699-26</t>
  </si>
  <si>
    <t>UT 699-1</t>
  </si>
  <si>
    <t>UT 699-17</t>
  </si>
  <si>
    <t>UT 699-18</t>
  </si>
  <si>
    <t>UT 699-7</t>
  </si>
  <si>
    <t>UT 699-15</t>
  </si>
  <si>
    <t>UT 699-24</t>
  </si>
  <si>
    <t>UT 699-11</t>
  </si>
  <si>
    <t>UT 699-16</t>
  </si>
  <si>
    <t>UT 699-22</t>
  </si>
  <si>
    <t>UT 699-13</t>
  </si>
  <si>
    <t>UT 699-6</t>
  </si>
  <si>
    <t>UT 699-20</t>
  </si>
  <si>
    <t>UT 699-27</t>
  </si>
  <si>
    <t>UT 699-14</t>
  </si>
  <si>
    <t>UT 699-3</t>
  </si>
  <si>
    <t>UT 699-12</t>
  </si>
  <si>
    <t>UT 699-5</t>
  </si>
  <si>
    <t>UT 699-28</t>
  </si>
  <si>
    <t>UT 699-4</t>
  </si>
  <si>
    <t>ID3506 21</t>
  </si>
  <si>
    <t>ID3506 22</t>
  </si>
  <si>
    <t>ID3506 23</t>
  </si>
  <si>
    <t>ID3506 24</t>
  </si>
  <si>
    <t>Old Crow 21</t>
  </si>
  <si>
    <t>Old Crow 22</t>
  </si>
  <si>
    <t>Old Crow 23</t>
  </si>
  <si>
    <t>Old Crow 24</t>
  </si>
  <si>
    <t>UA 1364-11</t>
  </si>
  <si>
    <t>UA 1364-20</t>
  </si>
  <si>
    <t>UA 1364-16</t>
  </si>
  <si>
    <t>UA 1364-14</t>
  </si>
  <si>
    <t>UA 1364-19</t>
  </si>
  <si>
    <t>UA 1364-25</t>
  </si>
  <si>
    <t>UA 1364-13</t>
  </si>
  <si>
    <t>UA 1364-24</t>
  </si>
  <si>
    <t>UA 1364-22</t>
  </si>
  <si>
    <t>UA 1364-17</t>
  </si>
  <si>
    <t>UA 1364-15</t>
  </si>
  <si>
    <t>UA 4397-1</t>
  </si>
  <si>
    <t>UA 4402-11</t>
  </si>
  <si>
    <t>UA 4402-3</t>
  </si>
  <si>
    <t>UA 4402-13</t>
  </si>
  <si>
    <t>UA 4402-10</t>
  </si>
  <si>
    <t>UA 4402-8</t>
  </si>
  <si>
    <t>UA 4402-7</t>
  </si>
  <si>
    <t>UA 4402-9</t>
  </si>
  <si>
    <t>UA 4402-1</t>
  </si>
  <si>
    <t>UA 4402-12</t>
  </si>
  <si>
    <t>UA 4402-2</t>
  </si>
  <si>
    <t>UA 4402-5</t>
  </si>
  <si>
    <t>UA 4402-14</t>
  </si>
  <si>
    <t>UA 4401-1</t>
  </si>
  <si>
    <t>UA 4401-8</t>
  </si>
  <si>
    <t>UA 4401-18</t>
  </si>
  <si>
    <t>UA 4401-21</t>
  </si>
  <si>
    <t>UA 4401-12</t>
  </si>
  <si>
    <t>UA 4401-7</t>
  </si>
  <si>
    <t>UA 4401-15</t>
  </si>
  <si>
    <t>UA 4401-5</t>
  </si>
  <si>
    <t>UA 4401-6</t>
  </si>
  <si>
    <t>UA 4401-13</t>
  </si>
  <si>
    <t>UA 4401-11</t>
  </si>
  <si>
    <t>UA 4401-3</t>
  </si>
  <si>
    <t>UA 4401-16</t>
  </si>
  <si>
    <t>UA 4401-2</t>
  </si>
  <si>
    <t>UA 4401-20</t>
  </si>
  <si>
    <t>UA 4401-10</t>
  </si>
  <si>
    <t>UA 4401-14</t>
  </si>
  <si>
    <t>UA 4401-4</t>
  </si>
  <si>
    <t>UA 4401-22</t>
  </si>
  <si>
    <t>UA 4401-17</t>
  </si>
  <si>
    <t>UA 4395-17</t>
  </si>
  <si>
    <t>UA 4395-12</t>
  </si>
  <si>
    <t>UA 4395-2</t>
  </si>
  <si>
    <t>UA 4395-3</t>
  </si>
  <si>
    <t>UA 4395-13</t>
  </si>
  <si>
    <t>UA 4395-10</t>
  </si>
  <si>
    <t>UA 4395-11</t>
  </si>
  <si>
    <t>UA 4395-8</t>
  </si>
  <si>
    <t>UA 4395-9</t>
  </si>
  <si>
    <t>UA 4395-4</t>
  </si>
  <si>
    <t>UA 4395-5</t>
  </si>
  <si>
    <t>UA 4395-6</t>
  </si>
  <si>
    <t>UA 4395-14</t>
  </si>
  <si>
    <t>UA 4395-7</t>
  </si>
  <si>
    <t>UA 1364-7</t>
  </si>
  <si>
    <t>UA 1364-9</t>
  </si>
  <si>
    <t>UA 1364-8</t>
  </si>
  <si>
    <t>UA 1364-18</t>
  </si>
  <si>
    <t>UA 1364-6</t>
  </si>
  <si>
    <t>UA 1364-4</t>
  </si>
  <si>
    <t>UA 1364-1</t>
  </si>
  <si>
    <t>UA 1364-5</t>
  </si>
  <si>
    <t>UA 1364-12</t>
  </si>
  <si>
    <t>UA 1364-2</t>
  </si>
  <si>
    <t>UA 1364-3</t>
  </si>
  <si>
    <t>UA 1364-10</t>
  </si>
  <si>
    <t>UA 4192-13</t>
  </si>
  <si>
    <t>UA 4192-35</t>
  </si>
  <si>
    <t>UA 4192-9</t>
  </si>
  <si>
    <t>UA 4192-34</t>
  </si>
  <si>
    <t>UA 4192-10</t>
  </si>
  <si>
    <t>UA 4192-38</t>
  </si>
  <si>
    <t>UA 4192-21</t>
  </si>
  <si>
    <t>UA 4192-25</t>
  </si>
  <si>
    <t>UA 4192-32</t>
  </si>
  <si>
    <t>UA 4192-3</t>
  </si>
  <si>
    <t>UA 4192-12</t>
  </si>
  <si>
    <t>UA 4192-8</t>
  </si>
  <si>
    <t>UA 4192-22</t>
  </si>
  <si>
    <t>UA 4192-14</t>
  </si>
  <si>
    <t>UA 4192-39</t>
  </si>
  <si>
    <t>UA 4192-15</t>
  </si>
  <si>
    <t>UA 4192-29</t>
  </si>
  <si>
    <t>UA 4192-37</t>
  </si>
  <si>
    <t>UA 4192-19</t>
  </si>
  <si>
    <t>UA 4192-11</t>
  </si>
  <si>
    <t>UA 4192-20</t>
  </si>
  <si>
    <t>UA 4192-36</t>
  </si>
  <si>
    <t>UA 4192-6</t>
  </si>
  <si>
    <t>UA 4192-31</t>
  </si>
  <si>
    <t>UA 4192-33</t>
  </si>
  <si>
    <t>UA 4192-24</t>
  </si>
  <si>
    <t>UA 4192-27</t>
  </si>
  <si>
    <t>UA 4192-17</t>
  </si>
  <si>
    <t>UA 4192-7</t>
  </si>
  <si>
    <t>UA 4192-18</t>
  </si>
  <si>
    <t>UA 4192-5</t>
  </si>
  <si>
    <t>UA 4192-30</t>
  </si>
  <si>
    <t>UA 4192-1</t>
  </si>
  <si>
    <t>UA 4192-16</t>
  </si>
  <si>
    <t>UA 4192-40</t>
  </si>
  <si>
    <t>UA 4192-28</t>
  </si>
  <si>
    <t>UA 4192-23</t>
  </si>
  <si>
    <t>UA 4192-2</t>
  </si>
  <si>
    <t>UA 4191-4</t>
  </si>
  <si>
    <t>UA 4191-3</t>
  </si>
  <si>
    <t>UA 4191-20</t>
  </si>
  <si>
    <t>UA 4191-5</t>
  </si>
  <si>
    <t>UA 4191-24</t>
  </si>
  <si>
    <t>UA 4191-1</t>
  </si>
  <si>
    <t>UA 4191-7</t>
  </si>
  <si>
    <t>UA 4191-10</t>
  </si>
  <si>
    <t>UA 4191-2</t>
  </si>
  <si>
    <t>UA 4191-25</t>
  </si>
  <si>
    <t>UA 4191-12</t>
  </si>
  <si>
    <t>UA 4191-17</t>
  </si>
  <si>
    <t>UA 4191-8</t>
  </si>
  <si>
    <t>UA 4191-22</t>
  </si>
  <si>
    <t>UA 4191-26</t>
  </si>
  <si>
    <t>UA 4191-19</t>
  </si>
  <si>
    <t>UA 4191-21</t>
  </si>
  <si>
    <t>UA 4191-28</t>
  </si>
  <si>
    <t>UA 4191-6</t>
  </si>
  <si>
    <t>UA 4191-30</t>
  </si>
  <si>
    <t>UA 4191-14</t>
  </si>
  <si>
    <t>UA 4191-27</t>
  </si>
  <si>
    <t>UA 4191-18</t>
  </si>
  <si>
    <t>UA 4191-15</t>
  </si>
  <si>
    <t>UA 4191-23</t>
  </si>
  <si>
    <t>UA 4191-13</t>
  </si>
  <si>
    <t>UA 1364 2-18</t>
  </si>
  <si>
    <t>UA 1364 2-8</t>
  </si>
  <si>
    <t>UA 4398-29</t>
  </si>
  <si>
    <t>UA 4398-14</t>
  </si>
  <si>
    <t>UA 4398-16</t>
  </si>
  <si>
    <t>UA 4398-1</t>
  </si>
  <si>
    <t>UA 4398-10</t>
  </si>
  <si>
    <t>UA 4398-20</t>
  </si>
  <si>
    <t>UA 4398-23</t>
  </si>
  <si>
    <t>UA 4398-12</t>
  </si>
  <si>
    <t>UA 4398-17</t>
  </si>
  <si>
    <t>UA 4398-6</t>
  </si>
  <si>
    <t>UA 4398-27</t>
  </si>
  <si>
    <t>UA 4398-13</t>
  </si>
  <si>
    <t>UA 4398-26</t>
  </si>
  <si>
    <t>UA 4398-30</t>
  </si>
  <si>
    <t>UA 4398-19</t>
  </si>
  <si>
    <t>UA 4398-11</t>
  </si>
  <si>
    <t>UA 4398-21</t>
  </si>
  <si>
    <t>UA 4398-8</t>
  </si>
  <si>
    <t>UA 4398-9</t>
  </si>
  <si>
    <t>UA 4398-15</t>
  </si>
  <si>
    <t>UA 4398-5</t>
  </si>
  <si>
    <t>UA 4398-24</t>
  </si>
  <si>
    <t>UA 4398-22</t>
  </si>
  <si>
    <t>UA 4398-18</t>
  </si>
  <si>
    <t>UA 4398-28</t>
  </si>
  <si>
    <t>UA 4398-2</t>
  </si>
  <si>
    <t>UA 4398-4</t>
  </si>
  <si>
    <t>UA 4395-1</t>
  </si>
  <si>
    <t>UA 4399-1</t>
  </si>
  <si>
    <t>UA 4399-30</t>
  </si>
  <si>
    <t>UA 4399-10</t>
  </si>
  <si>
    <t>UA 4399-7</t>
  </si>
  <si>
    <t>UA 4399-20</t>
  </si>
  <si>
    <t>UA 4399-2</t>
  </si>
  <si>
    <t>UA 4399-28</t>
  </si>
  <si>
    <t>UA 4399-14</t>
  </si>
  <si>
    <t>UA 4399-22</t>
  </si>
  <si>
    <t>UA 4399-17</t>
  </si>
  <si>
    <t>UA 4399-4</t>
  </si>
  <si>
    <t>UA 4399-15</t>
  </si>
  <si>
    <t>UA 4399-5</t>
  </si>
  <si>
    <t>UA 4399-6</t>
  </si>
  <si>
    <t>UA 4399-29</t>
  </si>
  <si>
    <t>UA 4399-18</t>
  </si>
  <si>
    <t>UA 4399-12</t>
  </si>
  <si>
    <t>UA 4399-21</t>
  </si>
  <si>
    <t>UA 4399-27</t>
  </si>
  <si>
    <t>UA 4399-26</t>
  </si>
  <si>
    <t>UA 4399-19</t>
  </si>
  <si>
    <t>UA 4399-8</t>
  </si>
  <si>
    <t>UA 4399-23</t>
  </si>
  <si>
    <t>UA 4399-16</t>
  </si>
  <si>
    <t>UA 4399-25</t>
  </si>
  <si>
    <t>UA 4400-27</t>
  </si>
  <si>
    <t>UA 4400-26</t>
  </si>
  <si>
    <t>UA 4400-17</t>
  </si>
  <si>
    <t>UA 4400-16</t>
  </si>
  <si>
    <t>UA 4400-22</t>
  </si>
  <si>
    <t>UA 4400-3</t>
  </si>
  <si>
    <t>UA 4400-28</t>
  </si>
  <si>
    <t>UA 4400-9</t>
  </si>
  <si>
    <t>UA 4400-10</t>
  </si>
  <si>
    <t>UA 4400-23</t>
  </si>
  <si>
    <t>UA 4400-19</t>
  </si>
  <si>
    <t>UA 4400-4</t>
  </si>
  <si>
    <t>UA 4400-12</t>
  </si>
  <si>
    <t>UA 4400-18</t>
  </si>
  <si>
    <t>UA 4400-2</t>
  </si>
  <si>
    <t>UA 4400-20</t>
  </si>
  <si>
    <t>UA 4400-7</t>
  </si>
  <si>
    <t>UA 4400-13</t>
  </si>
  <si>
    <t>UA 4400-24</t>
  </si>
  <si>
    <t>UA 4400-14</t>
  </si>
  <si>
    <t>UA 4400-11</t>
  </si>
  <si>
    <t>UA 4400-5</t>
  </si>
  <si>
    <t>UA 4400-1</t>
  </si>
  <si>
    <t>UA 4400-15</t>
  </si>
  <si>
    <t>UA 4400-6</t>
  </si>
  <si>
    <t>UA 4400-21</t>
  </si>
  <si>
    <t>UA 4400-25</t>
  </si>
  <si>
    <t>UA 4400-8</t>
  </si>
  <si>
    <t>UA 4400-29</t>
  </si>
  <si>
    <t>UA 4400-30</t>
  </si>
  <si>
    <t>UA 1364-30</t>
  </si>
  <si>
    <t>UA 1364-31</t>
  </si>
  <si>
    <t>UA 1364-33</t>
  </si>
  <si>
    <t>UA 1364-40</t>
  </si>
  <si>
    <t>UA 1364-37</t>
  </si>
  <si>
    <t>UA 1364-26</t>
  </si>
  <si>
    <t>UA 1364-21</t>
  </si>
  <si>
    <t>UA 1364-28</t>
  </si>
  <si>
    <t>UA 1364-39</t>
  </si>
  <si>
    <t>UA 1364-23</t>
  </si>
  <si>
    <t>UA 1364-34</t>
  </si>
  <si>
    <t>UA 1364-35</t>
  </si>
  <si>
    <t>UA 1364-32</t>
  </si>
  <si>
    <t>UA 1364-29</t>
  </si>
  <si>
    <t>UA 1364-38</t>
  </si>
  <si>
    <t>UA 1364-36</t>
  </si>
  <si>
    <t>UA 4392-12</t>
  </si>
  <si>
    <t>UA 4392-22</t>
  </si>
  <si>
    <t>UA 4392-16</t>
  </si>
  <si>
    <t>UA 4392-30</t>
  </si>
  <si>
    <t>UA 4392-24</t>
  </si>
  <si>
    <t>UA 4392-13</t>
  </si>
  <si>
    <t>UA 4392-6</t>
  </si>
  <si>
    <t>UA 4392-17</t>
  </si>
  <si>
    <t>UA 4392-3</t>
  </si>
  <si>
    <t>UA 4392-9</t>
  </si>
  <si>
    <t>UA 4392-2</t>
  </si>
  <si>
    <t>UA 4392-21</t>
  </si>
  <si>
    <t>UA 4392-25</t>
  </si>
  <si>
    <t>UA 4392-27</t>
  </si>
  <si>
    <t>UA 4392-28</t>
  </si>
  <si>
    <t>UA 4392-29</t>
  </si>
  <si>
    <t>UA 4392-4</t>
  </si>
  <si>
    <t>UA 4392-20</t>
  </si>
  <si>
    <t>UA 4392-19</t>
  </si>
  <si>
    <t>UA 4392-11</t>
  </si>
  <si>
    <t>UA 4392-18</t>
  </si>
  <si>
    <t>UA 4392-26</t>
  </si>
  <si>
    <t>UA 4392-14</t>
  </si>
  <si>
    <t>UA 4392-23</t>
  </si>
  <si>
    <t>UA 4392-8</t>
  </si>
  <si>
    <t>UA 4392-15</t>
  </si>
  <si>
    <t>UA 4392-7</t>
  </si>
  <si>
    <t>UA 4392-5</t>
  </si>
  <si>
    <t>UA 4392-10</t>
  </si>
  <si>
    <t>UA 4393-25</t>
  </si>
  <si>
    <t>UA 4393-16</t>
  </si>
  <si>
    <t>UA 4393-1</t>
  </si>
  <si>
    <t>UA 4393-20</t>
  </si>
  <si>
    <t>UA 4393-21</t>
  </si>
  <si>
    <t>UA 4393-7</t>
  </si>
  <si>
    <t>UA 4393-3</t>
  </si>
  <si>
    <t>UA 4393-26</t>
  </si>
  <si>
    <t>UA 4393-22</t>
  </si>
  <si>
    <t>UA 4393-15</t>
  </si>
  <si>
    <t>UA 4393-28</t>
  </si>
  <si>
    <t>UA 4393-13</t>
  </si>
  <si>
    <t>UA 4393-6</t>
  </si>
  <si>
    <t>UA 4393-23</t>
  </si>
  <si>
    <t>UA 4393-8</t>
  </si>
  <si>
    <t>UA 4393-11</t>
  </si>
  <si>
    <t>UA 4393-9</t>
  </si>
  <si>
    <t>UA 4393-4</t>
  </si>
  <si>
    <t>UA 4393-27</t>
  </si>
  <si>
    <t>UA 4393-18</t>
  </si>
  <si>
    <t>UA 4393-19</t>
  </si>
  <si>
    <t>UA 4393-10</t>
  </si>
  <si>
    <t>UA 4393-14</t>
  </si>
  <si>
    <t>UA 4393-2</t>
  </si>
  <si>
    <t>UA 4393-12</t>
  </si>
  <si>
    <t>UA 4393-24</t>
  </si>
  <si>
    <t>UA 4393-17</t>
  </si>
  <si>
    <t>UA 4393-29</t>
  </si>
  <si>
    <t>UA 4394-20</t>
  </si>
  <si>
    <t>UA 4394-29</t>
  </si>
  <si>
    <t>UA 4394-30</t>
  </si>
  <si>
    <t>UA 4394-3</t>
  </si>
  <si>
    <t>UA 4394-14</t>
  </si>
  <si>
    <t>UA 4394-6</t>
  </si>
  <si>
    <t>UA 4394-21</t>
  </si>
  <si>
    <t>UA 4394-18</t>
  </si>
  <si>
    <t>UA 4394-22</t>
  </si>
  <si>
    <t>UA 4394-16</t>
  </si>
  <si>
    <t>UA 4394-7</t>
  </si>
  <si>
    <t>UA 4394-2</t>
  </si>
  <si>
    <t>UA 4394-12</t>
  </si>
  <si>
    <t>UA 4394-4</t>
  </si>
  <si>
    <t>UA 4394-24</t>
  </si>
  <si>
    <t>UA 4394-25</t>
  </si>
  <si>
    <t>UA 4394-19</t>
  </si>
  <si>
    <t>UA 4394-26</t>
  </si>
  <si>
    <t>UA 4394-17</t>
  </si>
  <si>
    <t>UA 4394-8</t>
  </si>
  <si>
    <t>UA 4394-23</t>
  </si>
  <si>
    <t>UA 4394-11</t>
  </si>
  <si>
    <t>UA 4394-13</t>
  </si>
  <si>
    <t>UA 4394-9</t>
  </si>
  <si>
    <t>UA 4394-1</t>
  </si>
  <si>
    <t>UA 4394-15</t>
  </si>
  <si>
    <t>UA 4394-27</t>
  </si>
  <si>
    <t>UA 4394-5</t>
  </si>
  <si>
    <t>UA 4394-28</t>
  </si>
  <si>
    <t>UT 695-26</t>
  </si>
  <si>
    <t>UT 695-19</t>
  </si>
  <si>
    <t>UT 695-23</t>
  </si>
  <si>
    <t>UT 691-22</t>
  </si>
  <si>
    <t>outliers - unrelated</t>
  </si>
  <si>
    <t>outlier, potential microlite contamination</t>
  </si>
  <si>
    <t>Na loss</t>
  </si>
  <si>
    <t>outlier</t>
  </si>
  <si>
    <t>epoxy analyzed leading to higher chlorine, excluded</t>
  </si>
  <si>
    <t>CFA Run #</t>
  </si>
  <si>
    <t>Sample #</t>
  </si>
  <si>
    <t>Density separation</t>
  </si>
  <si>
    <t>Puck</t>
  </si>
  <si>
    <t>Hole</t>
  </si>
  <si>
    <t>Tephra?</t>
  </si>
  <si>
    <t>Accession #</t>
  </si>
  <si>
    <t>N/A</t>
  </si>
  <si>
    <t>L18 &amp; L19</t>
  </si>
  <si>
    <t>UA 4392</t>
  </si>
  <si>
    <t>UA 4393</t>
  </si>
  <si>
    <t>UA 4394</t>
  </si>
  <si>
    <t>L20 &amp; L21</t>
  </si>
  <si>
    <t>UA 4395</t>
  </si>
  <si>
    <t>UA 4396</t>
  </si>
  <si>
    <t>UA 4397</t>
  </si>
  <si>
    <t>L22 &amp; L23</t>
  </si>
  <si>
    <t>UA 4398</t>
  </si>
  <si>
    <t>UA 4399</t>
  </si>
  <si>
    <t>UA 4400</t>
  </si>
  <si>
    <t>L24 &amp; L25</t>
  </si>
  <si>
    <t>UA 4401</t>
  </si>
  <si>
    <t>UA 4402</t>
  </si>
  <si>
    <r>
      <t>Al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>O</t>
    </r>
    <r>
      <rPr>
        <b/>
        <vertAlign val="subscript"/>
        <sz val="12"/>
        <rFont val="Arial"/>
        <family val="2"/>
      </rPr>
      <t>3</t>
    </r>
  </si>
  <si>
    <r>
      <t>K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>O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</si>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</sst>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5FED6"/>
        <bgColor indexed="64"/>
      </patternFill>
    </fill>
    <fill>
      <patternFill patternType="solid">
        <fgColor rgb="FFD5FED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1" xfId="0" applyFont="1" applyFill="1" applyBorder="1"/>
    <xf numFmtId="2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 wrapText="1"/>
    </xf>
    <xf numFmtId="2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7" fillId="0" borderId="0" xfId="0" applyFont="1"/>
    <xf numFmtId="0" fontId="7" fillId="3" borderId="0" xfId="0" applyFont="1" applyFill="1" applyAlignment="1">
      <alignment horizontal="left"/>
    </xf>
    <xf numFmtId="0" fontId="8" fillId="0" borderId="0" xfId="0" applyFont="1"/>
    <xf numFmtId="0" fontId="3" fillId="0" borderId="0" xfId="0" applyFont="1"/>
    <xf numFmtId="2" fontId="3" fillId="0" borderId="0" xfId="0" applyNumberFormat="1" applyFont="1"/>
    <xf numFmtId="0" fontId="7" fillId="0" borderId="0" xfId="0" applyFont="1" applyAlignment="1">
      <alignment horizontal="left"/>
    </xf>
    <xf numFmtId="0" fontId="9" fillId="0" borderId="0" xfId="0" applyFont="1"/>
    <xf numFmtId="2" fontId="9" fillId="3" borderId="0" xfId="0" applyNumberFormat="1" applyFont="1" applyFill="1"/>
    <xf numFmtId="2" fontId="9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2" borderId="0" xfId="0" applyNumberFormat="1" applyFont="1" applyFill="1"/>
    <xf numFmtId="2" fontId="7" fillId="2" borderId="1" xfId="0" applyNumberFormat="1" applyFont="1" applyFill="1" applyBorder="1"/>
    <xf numFmtId="0" fontId="11" fillId="0" borderId="0" xfId="0" applyFont="1" applyAlignment="1">
      <alignment horizontal="left"/>
    </xf>
    <xf numFmtId="2" fontId="9" fillId="3" borderId="0" xfId="0" applyNumberFormat="1" applyFont="1" applyFill="1" applyAlignment="1">
      <alignment horizontal="left"/>
    </xf>
    <xf numFmtId="2" fontId="9" fillId="4" borderId="0" xfId="0" applyNumberFormat="1" applyFont="1" applyFill="1"/>
    <xf numFmtId="0" fontId="7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0" borderId="0" xfId="0" applyFont="1"/>
    <xf numFmtId="2" fontId="8" fillId="0" borderId="0" xfId="0" applyNumberFormat="1" applyFont="1" applyAlignment="1">
      <alignment horizontal="center"/>
    </xf>
    <xf numFmtId="0" fontId="4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F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BA41-664A-1045-AACA-C3E8409DE73E}">
  <dimension ref="A1:O179"/>
  <sheetViews>
    <sheetView zoomScale="75" zoomScaleNormal="100" workbookViewId="0">
      <pane ySplit="17" topLeftCell="A18" activePane="bottomLeft" state="frozen"/>
      <selection pane="bottomLeft" activeCell="K17" sqref="K17"/>
    </sheetView>
  </sheetViews>
  <sheetFormatPr baseColWidth="10" defaultRowHeight="16" x14ac:dyDescent="0.2"/>
  <cols>
    <col min="1" max="1" width="20.33203125" style="1" customWidth="1"/>
    <col min="2" max="2" width="13.1640625" style="1" customWidth="1"/>
    <col min="3" max="16384" width="10.83203125" style="1"/>
  </cols>
  <sheetData>
    <row r="1" spans="1:15" x14ac:dyDescent="0.2">
      <c r="A1" s="23" t="s">
        <v>0</v>
      </c>
      <c r="B1" s="23"/>
      <c r="C1" s="23"/>
      <c r="D1" s="23"/>
      <c r="E1" s="23"/>
      <c r="F1" s="23"/>
      <c r="G1" s="23"/>
    </row>
    <row r="3" spans="1:15" x14ac:dyDescent="0.2">
      <c r="A3" s="23" t="s">
        <v>1</v>
      </c>
      <c r="B3" s="1" t="s">
        <v>16</v>
      </c>
    </row>
    <row r="4" spans="1:15" x14ac:dyDescent="0.2">
      <c r="A4" s="23" t="s">
        <v>17</v>
      </c>
      <c r="B4" s="1" t="s">
        <v>83</v>
      </c>
    </row>
    <row r="5" spans="1:15" x14ac:dyDescent="0.2">
      <c r="A5" s="23" t="s">
        <v>2</v>
      </c>
      <c r="B5" s="1" t="s">
        <v>69</v>
      </c>
    </row>
    <row r="6" spans="1:15" x14ac:dyDescent="0.2">
      <c r="A6" s="23"/>
      <c r="B6" s="1" t="s">
        <v>3</v>
      </c>
    </row>
    <row r="7" spans="1:15" x14ac:dyDescent="0.2">
      <c r="A7" s="23"/>
      <c r="B7" s="1" t="s">
        <v>84</v>
      </c>
    </row>
    <row r="8" spans="1:15" x14ac:dyDescent="0.2">
      <c r="B8" s="1" t="s">
        <v>70</v>
      </c>
    </row>
    <row r="9" spans="1:15" x14ac:dyDescent="0.2">
      <c r="A9" s="23" t="s">
        <v>18</v>
      </c>
      <c r="B9" s="1" t="s">
        <v>19</v>
      </c>
    </row>
    <row r="10" spans="1:15" x14ac:dyDescent="0.2">
      <c r="A10" s="23"/>
    </row>
    <row r="11" spans="1:15" ht="19" x14ac:dyDescent="0.2">
      <c r="B11" s="23" t="s">
        <v>5</v>
      </c>
      <c r="C11" s="31" t="s">
        <v>85</v>
      </c>
      <c r="D11" s="31" t="s">
        <v>86</v>
      </c>
      <c r="E11" s="31" t="s">
        <v>87</v>
      </c>
      <c r="F11" s="31" t="s">
        <v>12</v>
      </c>
      <c r="G11" s="31" t="s">
        <v>13</v>
      </c>
      <c r="H11" s="31" t="s">
        <v>14</v>
      </c>
      <c r="I11" s="31" t="s">
        <v>15</v>
      </c>
      <c r="J11" s="31" t="s">
        <v>88</v>
      </c>
      <c r="K11" s="31" t="s">
        <v>89</v>
      </c>
      <c r="L11" s="31" t="s">
        <v>90</v>
      </c>
      <c r="M11" s="32" t="s">
        <v>6</v>
      </c>
      <c r="N11" s="32" t="s">
        <v>7</v>
      </c>
      <c r="O11" s="32" t="s">
        <v>8</v>
      </c>
    </row>
    <row r="12" spans="1:15" x14ac:dyDescent="0.2">
      <c r="B12" s="33" t="s">
        <v>9</v>
      </c>
      <c r="C12" s="10">
        <v>74.099999999999994</v>
      </c>
      <c r="D12" s="10">
        <v>7.0000000000000007E-2</v>
      </c>
      <c r="E12" s="10">
        <v>13.1</v>
      </c>
      <c r="F12" s="10">
        <v>1.55</v>
      </c>
      <c r="G12" s="10">
        <v>7.0000000000000007E-2</v>
      </c>
      <c r="H12" s="10">
        <v>0.04</v>
      </c>
      <c r="I12" s="10">
        <v>0.74</v>
      </c>
      <c r="J12" s="10">
        <v>4.0599999999999996</v>
      </c>
      <c r="K12" s="10">
        <v>5.13</v>
      </c>
      <c r="L12" s="11">
        <v>0.01</v>
      </c>
      <c r="M12" s="10">
        <v>0.34</v>
      </c>
      <c r="N12" s="10">
        <v>99.09</v>
      </c>
      <c r="O12" s="12"/>
    </row>
    <row r="13" spans="1:15" x14ac:dyDescent="0.2">
      <c r="B13" s="34" t="s">
        <v>10</v>
      </c>
      <c r="C13" s="13">
        <v>0.96</v>
      </c>
      <c r="D13" s="13">
        <v>0.03</v>
      </c>
      <c r="E13" s="13">
        <v>0.34</v>
      </c>
      <c r="F13" s="13">
        <v>0.06</v>
      </c>
      <c r="G13" s="13">
        <v>0.03</v>
      </c>
      <c r="H13" s="13">
        <v>0.02</v>
      </c>
      <c r="I13" s="13">
        <v>0.05</v>
      </c>
      <c r="J13" s="13">
        <v>0.28000000000000003</v>
      </c>
      <c r="K13" s="13">
        <v>0.26</v>
      </c>
      <c r="L13" s="14">
        <v>0.02</v>
      </c>
      <c r="M13" s="13">
        <v>0.03</v>
      </c>
      <c r="N13" s="13"/>
      <c r="O13" s="15"/>
    </row>
    <row r="14" spans="1:15" x14ac:dyDescent="0.2">
      <c r="B14" s="33" t="s">
        <v>11</v>
      </c>
      <c r="C14" s="10">
        <v>75.150000000000006</v>
      </c>
      <c r="D14" s="10">
        <v>0.31</v>
      </c>
      <c r="E14" s="10">
        <v>13.14</v>
      </c>
      <c r="F14" s="10">
        <v>1.7</v>
      </c>
      <c r="G14" s="10">
        <v>0.05</v>
      </c>
      <c r="H14" s="10">
        <v>0.28999999999999998</v>
      </c>
      <c r="I14" s="10">
        <v>1.48</v>
      </c>
      <c r="J14" s="10">
        <v>3.84</v>
      </c>
      <c r="K14" s="10">
        <v>3.72</v>
      </c>
      <c r="L14" s="2"/>
      <c r="M14" s="10">
        <v>0.28000000000000003</v>
      </c>
      <c r="N14" s="10">
        <v>100</v>
      </c>
      <c r="O14" s="10">
        <v>4.12</v>
      </c>
    </row>
    <row r="15" spans="1:15" x14ac:dyDescent="0.2">
      <c r="B15" s="34" t="s">
        <v>10</v>
      </c>
      <c r="C15" s="13">
        <v>1</v>
      </c>
      <c r="D15" s="13">
        <v>0.05</v>
      </c>
      <c r="E15" s="13">
        <v>0.34</v>
      </c>
      <c r="F15" s="13">
        <v>0.14000000000000001</v>
      </c>
      <c r="G15" s="13">
        <v>0.03</v>
      </c>
      <c r="H15" s="13">
        <v>0.03</v>
      </c>
      <c r="I15" s="13">
        <v>0.05</v>
      </c>
      <c r="J15" s="13">
        <v>0.26</v>
      </c>
      <c r="K15" s="13">
        <v>0.26</v>
      </c>
      <c r="L15" s="3"/>
      <c r="M15" s="13">
        <v>0.05</v>
      </c>
      <c r="N15" s="13"/>
      <c r="O15" s="13"/>
    </row>
    <row r="16" spans="1:15" x14ac:dyDescent="0.2">
      <c r="B16" s="23"/>
    </row>
    <row r="17" spans="2:15" ht="19" x14ac:dyDescent="0.2">
      <c r="B17" s="23" t="s">
        <v>57</v>
      </c>
      <c r="C17" s="31" t="s">
        <v>85</v>
      </c>
      <c r="D17" s="31" t="s">
        <v>86</v>
      </c>
      <c r="E17" s="31" t="s">
        <v>606</v>
      </c>
      <c r="F17" s="31" t="s">
        <v>12</v>
      </c>
      <c r="G17" s="31" t="s">
        <v>13</v>
      </c>
      <c r="H17" s="31" t="s">
        <v>14</v>
      </c>
      <c r="I17" s="31" t="s">
        <v>15</v>
      </c>
      <c r="J17" s="31" t="s">
        <v>88</v>
      </c>
      <c r="K17" s="31" t="s">
        <v>607</v>
      </c>
      <c r="L17" s="31" t="s">
        <v>90</v>
      </c>
      <c r="M17" s="32" t="s">
        <v>6</v>
      </c>
      <c r="N17" s="38" t="s">
        <v>58</v>
      </c>
      <c r="O17" s="38" t="s">
        <v>22</v>
      </c>
    </row>
    <row r="18" spans="2:15" x14ac:dyDescent="0.2">
      <c r="B18" s="23"/>
    </row>
    <row r="19" spans="2:15" x14ac:dyDescent="0.2">
      <c r="B19" s="23" t="s">
        <v>23</v>
      </c>
      <c r="C19" s="8">
        <v>74.341999999999999</v>
      </c>
      <c r="D19" s="8">
        <v>8.0529000000000003E-2</v>
      </c>
      <c r="E19" s="8">
        <v>13.083399999999999</v>
      </c>
      <c r="F19" s="8">
        <v>1.65584</v>
      </c>
      <c r="G19" s="8">
        <v>5.0425999999999999E-2</v>
      </c>
      <c r="H19" s="8">
        <v>4.3071999999999999E-2</v>
      </c>
      <c r="I19" s="8">
        <v>0.72562700000000002</v>
      </c>
      <c r="J19" s="8">
        <v>4.0705499999999999</v>
      </c>
      <c r="K19" s="8">
        <v>5.3428300000000002</v>
      </c>
      <c r="L19" s="8">
        <v>1.2336E-2</v>
      </c>
      <c r="M19" s="8">
        <v>0.32797700000000002</v>
      </c>
      <c r="N19" s="8">
        <v>99.660600000000002</v>
      </c>
      <c r="O19" s="8">
        <f>100-N19</f>
        <v>0.3393999999999977</v>
      </c>
    </row>
    <row r="20" spans="2:15" x14ac:dyDescent="0.2">
      <c r="B20" s="23" t="s">
        <v>24</v>
      </c>
      <c r="C20" s="8">
        <v>74.281000000000006</v>
      </c>
      <c r="D20" s="8">
        <v>0.141296</v>
      </c>
      <c r="E20" s="8">
        <v>13.1075</v>
      </c>
      <c r="F20" s="8">
        <v>1.60999</v>
      </c>
      <c r="G20" s="8">
        <v>8.072E-2</v>
      </c>
      <c r="H20" s="8">
        <v>3.0817000000000001E-2</v>
      </c>
      <c r="I20" s="8">
        <v>0.68718199999999996</v>
      </c>
      <c r="J20" s="8">
        <v>4.1868999999999996</v>
      </c>
      <c r="K20" s="8">
        <v>5.4077299999999999</v>
      </c>
      <c r="L20" s="8">
        <v>0</v>
      </c>
      <c r="M20" s="8">
        <v>0.318243</v>
      </c>
      <c r="N20" s="8">
        <v>99.779499999999999</v>
      </c>
      <c r="O20" s="8">
        <f t="shared" ref="O20:O24" si="0">100-N20</f>
        <v>0.22050000000000125</v>
      </c>
    </row>
    <row r="21" spans="2:15" x14ac:dyDescent="0.2">
      <c r="B21" s="23" t="s">
        <v>25</v>
      </c>
      <c r="C21" s="8">
        <v>74.306700000000006</v>
      </c>
      <c r="D21" s="8">
        <v>4.2793999999999999E-2</v>
      </c>
      <c r="E21" s="8">
        <v>13.0252</v>
      </c>
      <c r="F21" s="8">
        <v>1.5488299999999999</v>
      </c>
      <c r="G21" s="8">
        <v>6.7807999999999993E-2</v>
      </c>
      <c r="H21" s="8">
        <v>5.3161E-2</v>
      </c>
      <c r="I21" s="8">
        <v>0.75959299999999996</v>
      </c>
      <c r="J21" s="8">
        <v>3.8330500000000001</v>
      </c>
      <c r="K21" s="8">
        <v>5.2633299999999998</v>
      </c>
      <c r="L21" s="8">
        <v>6.5895999999999996E-2</v>
      </c>
      <c r="M21" s="8">
        <v>0.31646200000000002</v>
      </c>
      <c r="N21" s="8">
        <v>99.211399999999998</v>
      </c>
      <c r="O21" s="8">
        <f t="shared" si="0"/>
        <v>0.78860000000000241</v>
      </c>
    </row>
    <row r="22" spans="2:15" x14ac:dyDescent="0.2">
      <c r="B22" s="23" t="s">
        <v>26</v>
      </c>
      <c r="C22" s="8">
        <v>74.322500000000005</v>
      </c>
      <c r="D22" s="8">
        <v>0.107304</v>
      </c>
      <c r="E22" s="8">
        <v>13.162599999999999</v>
      </c>
      <c r="F22" s="8">
        <v>1.6403300000000001</v>
      </c>
      <c r="G22" s="8">
        <v>1.4435999999999999E-2</v>
      </c>
      <c r="H22" s="8">
        <v>2.9111999999999999E-2</v>
      </c>
      <c r="I22" s="8">
        <v>0.73966399999999999</v>
      </c>
      <c r="J22" s="8">
        <v>3.9941300000000002</v>
      </c>
      <c r="K22" s="8">
        <v>5.3020399999999999</v>
      </c>
      <c r="L22" s="8">
        <v>0</v>
      </c>
      <c r="M22" s="8">
        <v>0.31876100000000002</v>
      </c>
      <c r="N22" s="8">
        <v>99.558899999999994</v>
      </c>
      <c r="O22" s="8">
        <f t="shared" si="0"/>
        <v>0.44110000000000582</v>
      </c>
    </row>
    <row r="23" spans="2:15" x14ac:dyDescent="0.2">
      <c r="B23" s="23" t="s">
        <v>27</v>
      </c>
      <c r="C23" s="8">
        <v>74.817099999999996</v>
      </c>
      <c r="D23" s="8">
        <v>8.6756E-2</v>
      </c>
      <c r="E23" s="8">
        <v>12.981</v>
      </c>
      <c r="F23" s="8">
        <v>1.5174399999999999</v>
      </c>
      <c r="G23" s="8">
        <v>9.2456999999999998E-2</v>
      </c>
      <c r="H23" s="8">
        <v>5.0056999999999997E-2</v>
      </c>
      <c r="I23" s="8">
        <v>0.74390100000000003</v>
      </c>
      <c r="J23" s="8">
        <v>4.0237100000000003</v>
      </c>
      <c r="K23" s="8">
        <v>5.3334299999999999</v>
      </c>
      <c r="L23" s="8">
        <v>0</v>
      </c>
      <c r="M23" s="8">
        <v>0.36046699999999998</v>
      </c>
      <c r="N23" s="8">
        <v>99.924999999999997</v>
      </c>
      <c r="O23" s="8">
        <f t="shared" si="0"/>
        <v>7.5000000000002842E-2</v>
      </c>
    </row>
    <row r="24" spans="2:15" x14ac:dyDescent="0.2">
      <c r="B24" s="23" t="s">
        <v>28</v>
      </c>
      <c r="C24" s="8">
        <v>74.336500000000001</v>
      </c>
      <c r="D24" s="8">
        <v>2.6002999999999998E-2</v>
      </c>
      <c r="E24" s="8">
        <v>13.2494</v>
      </c>
      <c r="F24" s="8">
        <v>1.53922</v>
      </c>
      <c r="G24" s="8">
        <v>4.6241999999999998E-2</v>
      </c>
      <c r="H24" s="8">
        <v>4.9162999999999998E-2</v>
      </c>
      <c r="I24" s="8">
        <v>0.740456</v>
      </c>
      <c r="J24" s="8">
        <v>4.2674899999999996</v>
      </c>
      <c r="K24" s="8">
        <v>5.2599600000000004</v>
      </c>
      <c r="L24" s="8">
        <v>0</v>
      </c>
      <c r="M24" s="8">
        <v>0.31690200000000002</v>
      </c>
      <c r="N24" s="8">
        <v>99.759799999999998</v>
      </c>
      <c r="O24" s="8">
        <f t="shared" si="0"/>
        <v>0.24020000000000152</v>
      </c>
    </row>
    <row r="25" spans="2:15" x14ac:dyDescent="0.2">
      <c r="B25" s="24" t="s">
        <v>20</v>
      </c>
      <c r="C25" s="18">
        <f>AVERAGE(C19:C24)</f>
        <v>74.400966666666662</v>
      </c>
      <c r="D25" s="18">
        <f t="shared" ref="D25:O25" si="1">AVERAGE(D19:D24)</f>
        <v>8.0780333333333329E-2</v>
      </c>
      <c r="E25" s="18">
        <f t="shared" si="1"/>
        <v>13.101516666666663</v>
      </c>
      <c r="F25" s="18">
        <f t="shared" si="1"/>
        <v>1.585275</v>
      </c>
      <c r="G25" s="18">
        <f t="shared" si="1"/>
        <v>5.8681499999999998E-2</v>
      </c>
      <c r="H25" s="18">
        <f t="shared" si="1"/>
        <v>4.2563666666666666E-2</v>
      </c>
      <c r="I25" s="18">
        <f t="shared" si="1"/>
        <v>0.73273716666666677</v>
      </c>
      <c r="J25" s="18">
        <f t="shared" si="1"/>
        <v>4.0626383333333331</v>
      </c>
      <c r="K25" s="18">
        <f t="shared" si="1"/>
        <v>5.3182200000000002</v>
      </c>
      <c r="L25" s="18">
        <f t="shared" si="1"/>
        <v>1.3038666666666665E-2</v>
      </c>
      <c r="M25" s="18">
        <f t="shared" si="1"/>
        <v>0.32646866666666668</v>
      </c>
      <c r="N25" s="18">
        <f t="shared" si="1"/>
        <v>99.649200000000008</v>
      </c>
      <c r="O25" s="18">
        <f t="shared" si="1"/>
        <v>0.35080000000000194</v>
      </c>
    </row>
    <row r="26" spans="2:15" x14ac:dyDescent="0.2">
      <c r="B26" s="24" t="s">
        <v>21</v>
      </c>
      <c r="C26" s="18">
        <f>STDEV(C19:C24)</f>
        <v>0.20505374580013258</v>
      </c>
      <c r="D26" s="18">
        <f t="shared" ref="D26:O26" si="2">STDEV(D19:D24)</f>
        <v>4.2059339826805008E-2</v>
      </c>
      <c r="E26" s="18">
        <f t="shared" si="2"/>
        <v>9.6242577202954441E-2</v>
      </c>
      <c r="F26" s="18">
        <f t="shared" si="2"/>
        <v>5.7744595851040505E-2</v>
      </c>
      <c r="G26" s="18">
        <f t="shared" si="2"/>
        <v>2.7893840164093579E-2</v>
      </c>
      <c r="H26" s="18">
        <f t="shared" si="2"/>
        <v>1.0307226933888004E-2</v>
      </c>
      <c r="I26" s="18">
        <f t="shared" si="2"/>
        <v>2.4816349638225745E-2</v>
      </c>
      <c r="J26" s="18">
        <f t="shared" si="2"/>
        <v>0.15256957185712555</v>
      </c>
      <c r="K26" s="18">
        <f t="shared" si="2"/>
        <v>5.5709906479907083E-2</v>
      </c>
      <c r="L26" s="18">
        <f t="shared" si="2"/>
        <v>2.6360647720924207E-2</v>
      </c>
      <c r="M26" s="18">
        <f t="shared" si="2"/>
        <v>1.7186540927908275E-2</v>
      </c>
      <c r="N26" s="18">
        <f t="shared" si="2"/>
        <v>0.24707447460229517</v>
      </c>
      <c r="O26" s="18">
        <f t="shared" si="2"/>
        <v>0.2470744746022952</v>
      </c>
    </row>
    <row r="27" spans="2:15" x14ac:dyDescent="0.2">
      <c r="B27" s="23"/>
    </row>
    <row r="28" spans="2:15" x14ac:dyDescent="0.2">
      <c r="B28" s="23" t="s">
        <v>29</v>
      </c>
      <c r="C28" s="8">
        <v>75.516494807740131</v>
      </c>
      <c r="D28" s="8">
        <v>0.30495913400709201</v>
      </c>
      <c r="E28" s="8">
        <v>13.040744408690626</v>
      </c>
      <c r="F28" s="8">
        <v>1.601864078256543</v>
      </c>
      <c r="G28" s="8">
        <v>5.1714384607785921E-2</v>
      </c>
      <c r="H28" s="8">
        <v>0.31213073373512834</v>
      </c>
      <c r="I28" s="8">
        <v>1.4825126751579905</v>
      </c>
      <c r="J28" s="8">
        <v>3.5266604551171858</v>
      </c>
      <c r="K28" s="8">
        <v>3.8980275588325473</v>
      </c>
      <c r="L28" s="8">
        <v>3.4788568006250263E-2</v>
      </c>
      <c r="M28" s="8">
        <v>0.29712926134214201</v>
      </c>
      <c r="N28" s="8">
        <v>100</v>
      </c>
      <c r="O28" s="8">
        <v>4.9026680429727065</v>
      </c>
    </row>
    <row r="29" spans="2:15" x14ac:dyDescent="0.2">
      <c r="B29" s="23" t="s">
        <v>30</v>
      </c>
      <c r="C29" s="8">
        <v>75.232924652923657</v>
      </c>
      <c r="D29" s="8">
        <v>0.30018524631595189</v>
      </c>
      <c r="E29" s="8">
        <v>13.274279562457329</v>
      </c>
      <c r="F29" s="8">
        <v>1.754354683303246</v>
      </c>
      <c r="G29" s="8">
        <v>6.6691642650148666E-2</v>
      </c>
      <c r="H29" s="8">
        <v>0.27042815887768823</v>
      </c>
      <c r="I29" s="8">
        <v>1.4521609619976257</v>
      </c>
      <c r="J29" s="8">
        <v>3.5646238008178206</v>
      </c>
      <c r="K29" s="8">
        <v>3.85067424068427</v>
      </c>
      <c r="L29" s="8">
        <v>0</v>
      </c>
      <c r="M29" s="8">
        <v>0.3018425526618107</v>
      </c>
      <c r="N29" s="8">
        <v>100</v>
      </c>
      <c r="O29" s="8">
        <v>4.6042390442482599</v>
      </c>
    </row>
    <row r="30" spans="2:15" x14ac:dyDescent="0.2">
      <c r="B30" s="23" t="s">
        <v>31</v>
      </c>
      <c r="C30" s="8">
        <v>75.29368797607809</v>
      </c>
      <c r="D30" s="8">
        <v>0.27022124369930706</v>
      </c>
      <c r="E30" s="8">
        <v>13.044227658036295</v>
      </c>
      <c r="F30" s="8">
        <v>1.8033613706098301</v>
      </c>
      <c r="G30" s="8">
        <v>4.1086277123303684E-2</v>
      </c>
      <c r="H30" s="8">
        <v>0.32289949127497269</v>
      </c>
      <c r="I30" s="8">
        <v>1.4545924302119047</v>
      </c>
      <c r="J30" s="8">
        <v>3.6996057712508366</v>
      </c>
      <c r="K30" s="8">
        <v>3.8374306773351532</v>
      </c>
      <c r="L30" s="8">
        <v>0</v>
      </c>
      <c r="M30" s="8">
        <v>0.30072116958553535</v>
      </c>
      <c r="N30" s="8">
        <v>100</v>
      </c>
      <c r="O30" s="8">
        <v>4.9341952234310043</v>
      </c>
    </row>
    <row r="31" spans="2:15" x14ac:dyDescent="0.2">
      <c r="B31" s="23" t="s">
        <v>32</v>
      </c>
      <c r="C31" s="8">
        <v>75.243121021513304</v>
      </c>
      <c r="D31" s="8">
        <v>0.32973452668717684</v>
      </c>
      <c r="E31" s="8">
        <v>13.08999962945494</v>
      </c>
      <c r="F31" s="8">
        <v>1.6700858544622432</v>
      </c>
      <c r="G31" s="8">
        <v>9.7690811270206915E-2</v>
      </c>
      <c r="H31" s="8">
        <v>0.30438239453797661</v>
      </c>
      <c r="I31" s="8">
        <v>1.4950519842395056</v>
      </c>
      <c r="J31" s="8">
        <v>3.6599369377526405</v>
      </c>
      <c r="K31" s="8">
        <v>3.8289758335270001</v>
      </c>
      <c r="L31" s="8">
        <v>6.8744539549123615E-2</v>
      </c>
      <c r="M31" s="8">
        <v>0.27421384536063609</v>
      </c>
      <c r="N31" s="8">
        <v>100</v>
      </c>
      <c r="O31" s="8">
        <v>3.7043517431721256</v>
      </c>
    </row>
    <row r="32" spans="2:15" x14ac:dyDescent="0.2">
      <c r="B32" s="23" t="s">
        <v>33</v>
      </c>
      <c r="C32" s="8">
        <v>75.265292530336609</v>
      </c>
      <c r="D32" s="8">
        <v>0.29605756060925909</v>
      </c>
      <c r="E32" s="8">
        <v>12.938359488783608</v>
      </c>
      <c r="F32" s="8">
        <v>1.7948533632297692</v>
      </c>
      <c r="G32" s="8">
        <v>7.6025135136160039E-3</v>
      </c>
      <c r="H32" s="8">
        <v>0.26638231807941032</v>
      </c>
      <c r="I32" s="8">
        <v>1.4772970465548354</v>
      </c>
      <c r="J32" s="8">
        <v>3.7941924743395981</v>
      </c>
      <c r="K32" s="8">
        <v>3.9332444403154523</v>
      </c>
      <c r="L32" s="8">
        <v>2.1733180915444867E-2</v>
      </c>
      <c r="M32" s="8">
        <v>0.26470455099316426</v>
      </c>
      <c r="N32" s="8">
        <v>100</v>
      </c>
      <c r="O32" s="8">
        <v>4.8735659983033059</v>
      </c>
    </row>
    <row r="33" spans="2:15" x14ac:dyDescent="0.2">
      <c r="B33" s="23" t="s">
        <v>34</v>
      </c>
      <c r="C33" s="8">
        <v>75.016229266441684</v>
      </c>
      <c r="D33" s="8">
        <v>0.34453334224922971</v>
      </c>
      <c r="E33" s="8">
        <v>13.074275210401545</v>
      </c>
      <c r="F33" s="8">
        <v>1.8358670964913362</v>
      </c>
      <c r="G33" s="8">
        <v>1.5139130694351979E-2</v>
      </c>
      <c r="H33" s="8">
        <v>0.29291090753226284</v>
      </c>
      <c r="I33" s="8">
        <v>1.4373426547614601</v>
      </c>
      <c r="J33" s="8">
        <v>3.9676025267103641</v>
      </c>
      <c r="K33" s="8">
        <v>3.8149791691554755</v>
      </c>
      <c r="L33" s="8">
        <v>1.2986275281100763E-2</v>
      </c>
      <c r="M33" s="8">
        <v>0.24295313814456906</v>
      </c>
      <c r="N33" s="8">
        <v>100</v>
      </c>
      <c r="O33" s="8">
        <v>4.5453778571890098</v>
      </c>
    </row>
    <row r="34" spans="2:15" x14ac:dyDescent="0.2">
      <c r="B34" s="24" t="s">
        <v>20</v>
      </c>
      <c r="C34" s="18">
        <f t="shared" ref="C34:O34" si="3">AVERAGE(C28:C33)</f>
        <v>75.261291709172255</v>
      </c>
      <c r="D34" s="18">
        <f t="shared" si="3"/>
        <v>0.30761517559466944</v>
      </c>
      <c r="E34" s="18">
        <f t="shared" si="3"/>
        <v>13.076980992970723</v>
      </c>
      <c r="F34" s="18">
        <f t="shared" si="3"/>
        <v>1.7433977410588282</v>
      </c>
      <c r="G34" s="18">
        <f t="shared" si="3"/>
        <v>4.6654126643235531E-2</v>
      </c>
      <c r="H34" s="18">
        <f t="shared" si="3"/>
        <v>0.29485566733957319</v>
      </c>
      <c r="I34" s="18">
        <f t="shared" si="3"/>
        <v>1.4664929588205535</v>
      </c>
      <c r="J34" s="18">
        <f t="shared" si="3"/>
        <v>3.7021036609980746</v>
      </c>
      <c r="K34" s="18">
        <f t="shared" si="3"/>
        <v>3.8605553199749831</v>
      </c>
      <c r="L34" s="18">
        <f t="shared" si="3"/>
        <v>2.3042093958653254E-2</v>
      </c>
      <c r="M34" s="18">
        <f t="shared" si="3"/>
        <v>0.28026075301464293</v>
      </c>
      <c r="N34" s="18">
        <f t="shared" si="3"/>
        <v>100</v>
      </c>
      <c r="O34" s="18">
        <f t="shared" si="3"/>
        <v>4.5940663182194017</v>
      </c>
    </row>
    <row r="35" spans="2:15" x14ac:dyDescent="0.2">
      <c r="B35" s="24" t="s">
        <v>21</v>
      </c>
      <c r="C35" s="18">
        <f t="shared" ref="C35:O35" si="4">STDEV(C28:C33)</f>
        <v>0.15961491835373834</v>
      </c>
      <c r="D35" s="18">
        <f t="shared" si="4"/>
        <v>2.6253989162164145E-2</v>
      </c>
      <c r="E35" s="18">
        <f t="shared" si="4"/>
        <v>0.11018650016167557</v>
      </c>
      <c r="F35" s="18">
        <f t="shared" si="4"/>
        <v>8.9800183320482077E-2</v>
      </c>
      <c r="G35" s="18">
        <f t="shared" si="4"/>
        <v>3.3409806470760209E-2</v>
      </c>
      <c r="H35" s="18">
        <f t="shared" si="4"/>
        <v>2.2745810117285922E-2</v>
      </c>
      <c r="I35" s="18">
        <f t="shared" si="4"/>
        <v>2.184374737547401E-2</v>
      </c>
      <c r="J35" s="18">
        <f t="shared" si="4"/>
        <v>0.16151489075905959</v>
      </c>
      <c r="K35" s="18">
        <f t="shared" si="4"/>
        <v>4.5595419098588386E-2</v>
      </c>
      <c r="L35" s="18">
        <f t="shared" si="4"/>
        <v>2.6043817370462713E-2</v>
      </c>
      <c r="M35" s="18">
        <f t="shared" si="4"/>
        <v>2.3830098347521551E-2</v>
      </c>
      <c r="N35" s="18">
        <f t="shared" si="4"/>
        <v>0</v>
      </c>
      <c r="O35" s="18">
        <f t="shared" si="4"/>
        <v>0.46542643747257934</v>
      </c>
    </row>
    <row r="36" spans="2:15" x14ac:dyDescent="0.2">
      <c r="B36" s="23"/>
    </row>
    <row r="37" spans="2:15" x14ac:dyDescent="0.2">
      <c r="B37" s="23" t="s">
        <v>263</v>
      </c>
      <c r="C37" s="8">
        <v>67.956326626903234</v>
      </c>
      <c r="D37" s="8">
        <v>0.72412754633115339</v>
      </c>
      <c r="E37" s="8">
        <v>15.03698453359679</v>
      </c>
      <c r="F37" s="8">
        <v>4.3822680666025935</v>
      </c>
      <c r="G37" s="8">
        <v>9.5913135724182183E-2</v>
      </c>
      <c r="H37" s="8">
        <v>1.2064371598957875</v>
      </c>
      <c r="I37" s="8">
        <v>3.67500401499698</v>
      </c>
      <c r="J37" s="8">
        <v>4.5084830455958143</v>
      </c>
      <c r="K37" s="8">
        <v>2.2090023599297353</v>
      </c>
      <c r="L37" s="8">
        <v>9.9317182443088653E-2</v>
      </c>
      <c r="M37" s="8">
        <v>0.1370731646163669</v>
      </c>
      <c r="N37" s="8">
        <v>100</v>
      </c>
      <c r="O37" s="8">
        <v>0.47140125361180196</v>
      </c>
    </row>
    <row r="38" spans="2:15" x14ac:dyDescent="0.2">
      <c r="B38" s="23" t="s">
        <v>311</v>
      </c>
      <c r="C38" s="8">
        <v>67.970227131661005</v>
      </c>
      <c r="D38" s="8">
        <v>0.71435819644702903</v>
      </c>
      <c r="E38" s="8">
        <v>15.623621749364371</v>
      </c>
      <c r="F38" s="8">
        <v>3.6234751300923671</v>
      </c>
      <c r="G38" s="8">
        <v>8.4654296012740465E-2</v>
      </c>
      <c r="H38" s="8">
        <v>1.064209764011963</v>
      </c>
      <c r="I38" s="8">
        <v>3.3774954857318504</v>
      </c>
      <c r="J38" s="8">
        <v>4.8342853713838601</v>
      </c>
      <c r="K38" s="8">
        <v>2.4236169981279714</v>
      </c>
      <c r="L38" s="8">
        <v>0.17568521414606128</v>
      </c>
      <c r="M38" s="8">
        <v>0.13974515972293422</v>
      </c>
      <c r="N38" s="8">
        <v>100</v>
      </c>
      <c r="O38" s="8">
        <v>-0.2725248429504461</v>
      </c>
    </row>
    <row r="39" spans="2:15" x14ac:dyDescent="0.2">
      <c r="B39" s="23" t="s">
        <v>312</v>
      </c>
      <c r="C39" s="8">
        <v>68.598080157494465</v>
      </c>
      <c r="D39" s="8">
        <v>0.7701487173325835</v>
      </c>
      <c r="E39" s="8">
        <v>15.048126471360565</v>
      </c>
      <c r="F39" s="8">
        <v>3.90599134320491</v>
      </c>
      <c r="G39" s="8">
        <v>6.4865774865830172E-2</v>
      </c>
      <c r="H39" s="8">
        <v>1.1522788664526031</v>
      </c>
      <c r="I39" s="8">
        <v>3.4657924460211897</v>
      </c>
      <c r="J39" s="8">
        <v>4.3078624223415476</v>
      </c>
      <c r="K39" s="8">
        <v>2.3537914734415217</v>
      </c>
      <c r="L39" s="8">
        <v>0.21755995515878782</v>
      </c>
      <c r="M39" s="8">
        <v>0.14909982035691649</v>
      </c>
      <c r="N39" s="8">
        <v>100</v>
      </c>
      <c r="O39" s="8">
        <v>0.17694210246864372</v>
      </c>
    </row>
    <row r="40" spans="2:15" x14ac:dyDescent="0.2">
      <c r="B40" s="23" t="s">
        <v>313</v>
      </c>
      <c r="C40" s="8">
        <v>69.64532787999606</v>
      </c>
      <c r="D40" s="8">
        <v>0.7135646950459017</v>
      </c>
      <c r="E40" s="8">
        <v>14.910691338369819</v>
      </c>
      <c r="F40" s="8">
        <v>3.5521901758257806</v>
      </c>
      <c r="G40" s="8">
        <v>6.7797727468584937E-2</v>
      </c>
      <c r="H40" s="8">
        <v>1.0050994313214907</v>
      </c>
      <c r="I40" s="8">
        <v>3.3189579788259835</v>
      </c>
      <c r="J40" s="8">
        <v>4.0282920155327666</v>
      </c>
      <c r="K40" s="8">
        <v>2.5291623730989765</v>
      </c>
      <c r="L40" s="8">
        <v>0.12742967323644677</v>
      </c>
      <c r="M40" s="8">
        <v>0.13072764322280186</v>
      </c>
      <c r="N40" s="8">
        <v>100</v>
      </c>
      <c r="O40" s="8">
        <v>0.18102003292337088</v>
      </c>
    </row>
    <row r="41" spans="2:15" x14ac:dyDescent="0.2">
      <c r="B41" s="23" t="s">
        <v>314</v>
      </c>
      <c r="C41" s="8">
        <v>69.646221199215233</v>
      </c>
      <c r="D41" s="8">
        <v>0.65465104224864812</v>
      </c>
      <c r="E41" s="8">
        <v>14.634077681791227</v>
      </c>
      <c r="F41" s="8">
        <v>3.6137824698849101</v>
      </c>
      <c r="G41" s="8">
        <v>0.11841582670947433</v>
      </c>
      <c r="H41" s="8">
        <v>0.99006650357505233</v>
      </c>
      <c r="I41" s="8">
        <v>3.2558569543383471</v>
      </c>
      <c r="J41" s="8">
        <v>4.3538614461235321</v>
      </c>
      <c r="K41" s="8">
        <v>2.5007448110029951</v>
      </c>
      <c r="L41" s="8">
        <v>0.11111952619199544</v>
      </c>
      <c r="M41" s="8">
        <v>0.15696916756898155</v>
      </c>
      <c r="N41" s="8">
        <v>100</v>
      </c>
      <c r="O41" s="8">
        <v>-0.29740390310300313</v>
      </c>
    </row>
    <row r="42" spans="2:15" x14ac:dyDescent="0.2">
      <c r="B42" s="23" t="s">
        <v>255</v>
      </c>
      <c r="C42" s="8">
        <v>71.389970965638454</v>
      </c>
      <c r="D42" s="8">
        <v>0.58531215994661923</v>
      </c>
      <c r="E42" s="8">
        <v>14.442947351382374</v>
      </c>
      <c r="F42" s="8">
        <v>2.8357203939362705</v>
      </c>
      <c r="G42" s="8">
        <v>0.12273014834047549</v>
      </c>
      <c r="H42" s="8">
        <v>0.6937560063625029</v>
      </c>
      <c r="I42" s="8">
        <v>2.6429359808886108</v>
      </c>
      <c r="J42" s="8">
        <v>4.3148196914796717</v>
      </c>
      <c r="K42" s="8">
        <v>2.7288286353730702</v>
      </c>
      <c r="L42" s="8">
        <v>0.11539181299387596</v>
      </c>
      <c r="M42" s="8">
        <v>0.16476250799704653</v>
      </c>
      <c r="N42" s="8">
        <v>100</v>
      </c>
      <c r="O42" s="8">
        <v>-0.41786933891889078</v>
      </c>
    </row>
    <row r="43" spans="2:15" x14ac:dyDescent="0.2">
      <c r="B43" s="23" t="s">
        <v>315</v>
      </c>
      <c r="C43" s="8">
        <v>72.298626851085686</v>
      </c>
      <c r="D43" s="8">
        <v>0.5953778287731224</v>
      </c>
      <c r="E43" s="8">
        <v>14.075442662392485</v>
      </c>
      <c r="F43" s="8">
        <v>2.7728200861104413</v>
      </c>
      <c r="G43" s="8">
        <v>9.6607160320266838E-2</v>
      </c>
      <c r="H43" s="8">
        <v>0.68981304123386145</v>
      </c>
      <c r="I43" s="8">
        <v>2.550312981809395</v>
      </c>
      <c r="J43" s="8">
        <v>4.0770892820875746</v>
      </c>
      <c r="K43" s="8">
        <v>2.6046206779139549</v>
      </c>
      <c r="L43" s="8">
        <v>0.10710274069535015</v>
      </c>
      <c r="M43" s="8">
        <v>0.17128675123236708</v>
      </c>
      <c r="N43" s="8">
        <v>100</v>
      </c>
      <c r="O43" s="8">
        <v>4.3640989060307334E-2</v>
      </c>
    </row>
    <row r="44" spans="2:15" x14ac:dyDescent="0.2">
      <c r="B44" s="23" t="s">
        <v>262</v>
      </c>
      <c r="C44" s="8">
        <v>74.861663276413708</v>
      </c>
      <c r="D44" s="8">
        <v>0.43856862083732057</v>
      </c>
      <c r="E44" s="8">
        <v>13.25254210719226</v>
      </c>
      <c r="F44" s="8">
        <v>2.1655048444160134</v>
      </c>
      <c r="G44" s="8">
        <v>2.9106027007954456E-2</v>
      </c>
      <c r="H44" s="8">
        <v>0.40458419762103665</v>
      </c>
      <c r="I44" s="8">
        <v>1.8194573927524427</v>
      </c>
      <c r="J44" s="8">
        <v>3.8329482846537677</v>
      </c>
      <c r="K44" s="8">
        <v>2.9644926892268684</v>
      </c>
      <c r="L44" s="8">
        <v>9.9970043252737645E-2</v>
      </c>
      <c r="M44" s="8">
        <v>0.16967358644714173</v>
      </c>
      <c r="N44" s="8">
        <v>100</v>
      </c>
      <c r="O44" s="8">
        <v>0.21310709269080519</v>
      </c>
    </row>
    <row r="45" spans="2:15" x14ac:dyDescent="0.2">
      <c r="B45" s="23" t="s">
        <v>316</v>
      </c>
      <c r="C45" s="8">
        <v>76.009255735484643</v>
      </c>
      <c r="D45" s="8">
        <v>0.37418307801466461</v>
      </c>
      <c r="E45" s="8">
        <v>12.651149360137909</v>
      </c>
      <c r="F45" s="8">
        <v>1.9358601827797397</v>
      </c>
      <c r="G45" s="8">
        <v>3.9059123901277804E-2</v>
      </c>
      <c r="H45" s="8">
        <v>0.341467025885207</v>
      </c>
      <c r="I45" s="8">
        <v>1.5404760441353935</v>
      </c>
      <c r="J45" s="8">
        <v>4.0572296460691941</v>
      </c>
      <c r="K45" s="8">
        <v>2.9160036129895799</v>
      </c>
      <c r="L45" s="8">
        <v>4.146158990906805E-3</v>
      </c>
      <c r="M45" s="8">
        <v>0.16893166343676078</v>
      </c>
      <c r="N45" s="8">
        <v>100</v>
      </c>
      <c r="O45" s="8">
        <v>0.26914044857610975</v>
      </c>
    </row>
    <row r="46" spans="2:15" x14ac:dyDescent="0.2">
      <c r="B46" s="23" t="s">
        <v>317</v>
      </c>
      <c r="C46" s="8">
        <v>76.279228346254982</v>
      </c>
      <c r="D46" s="8">
        <v>0.4028456236574619</v>
      </c>
      <c r="E46" s="8">
        <v>12.784098947194286</v>
      </c>
      <c r="F46" s="8">
        <v>1.8542689428828185</v>
      </c>
      <c r="G46" s="8">
        <v>4.2005641466437219E-2</v>
      </c>
      <c r="H46" s="8">
        <v>0.35345146572310449</v>
      </c>
      <c r="I46" s="8">
        <v>1.4402693468213559</v>
      </c>
      <c r="J46" s="8">
        <v>3.6713947465186547</v>
      </c>
      <c r="K46" s="8">
        <v>2.9683261637009895</v>
      </c>
      <c r="L46" s="8">
        <v>6.6437483923604407E-2</v>
      </c>
      <c r="M46" s="8">
        <v>0.17799826643888542</v>
      </c>
      <c r="N46" s="8">
        <v>100</v>
      </c>
      <c r="O46" s="8">
        <v>0.27768047901473381</v>
      </c>
    </row>
    <row r="47" spans="2:15" x14ac:dyDescent="0.2">
      <c r="B47" s="23" t="s">
        <v>318</v>
      </c>
      <c r="C47" s="8">
        <v>76.722398399746055</v>
      </c>
      <c r="D47" s="8">
        <v>0.33278785443133435</v>
      </c>
      <c r="E47" s="8">
        <v>12.358657208571165</v>
      </c>
      <c r="F47" s="8">
        <v>1.7552985305102058</v>
      </c>
      <c r="G47" s="8">
        <v>4.4633941906599792E-2</v>
      </c>
      <c r="H47" s="8">
        <v>0.2584777366438572</v>
      </c>
      <c r="I47" s="8">
        <v>1.2323352173412438</v>
      </c>
      <c r="J47" s="8">
        <v>4.1555322894411315</v>
      </c>
      <c r="K47" s="8">
        <v>2.9363163715144207</v>
      </c>
      <c r="L47" s="8">
        <v>8.260181446289093E-2</v>
      </c>
      <c r="M47" s="8">
        <v>0.15622378325998609</v>
      </c>
      <c r="N47" s="8">
        <v>100</v>
      </c>
      <c r="O47" s="8">
        <v>-0.26898384563801869</v>
      </c>
    </row>
    <row r="48" spans="2:15" x14ac:dyDescent="0.2">
      <c r="B48" s="23" t="s">
        <v>253</v>
      </c>
      <c r="C48" s="8">
        <v>76.934859838408997</v>
      </c>
      <c r="D48" s="8">
        <v>0.41196777718497712</v>
      </c>
      <c r="E48" s="8">
        <v>12.332686404682001</v>
      </c>
      <c r="F48" s="8">
        <v>1.8597239953903448</v>
      </c>
      <c r="G48" s="8">
        <v>4.9406740523785957E-2</v>
      </c>
      <c r="H48" s="8">
        <v>0.30619513307237634</v>
      </c>
      <c r="I48" s="8">
        <v>1.3530309815873021</v>
      </c>
      <c r="J48" s="8">
        <v>3.7325058454989799</v>
      </c>
      <c r="K48" s="8">
        <v>2.8669107177583739</v>
      </c>
      <c r="L48" s="8">
        <v>4.1686623184565685E-3</v>
      </c>
      <c r="M48" s="8">
        <v>0.1917574614253903</v>
      </c>
      <c r="N48" s="8">
        <v>100</v>
      </c>
      <c r="O48" s="8">
        <v>0.51964675480333256</v>
      </c>
    </row>
    <row r="49" spans="1:15" x14ac:dyDescent="0.2">
      <c r="B49" s="23" t="s">
        <v>319</v>
      </c>
      <c r="C49" s="8">
        <v>77.009049111004657</v>
      </c>
      <c r="D49" s="8">
        <v>0.32411428249147473</v>
      </c>
      <c r="E49" s="8">
        <v>12.289286158102149</v>
      </c>
      <c r="F49" s="8">
        <v>1.7018140952000236</v>
      </c>
      <c r="G49" s="8">
        <v>0</v>
      </c>
      <c r="H49" s="8">
        <v>0.25580527094699662</v>
      </c>
      <c r="I49" s="8">
        <v>1.1982983405649696</v>
      </c>
      <c r="J49" s="8">
        <v>4.1025081377820181</v>
      </c>
      <c r="K49" s="8">
        <v>2.9782783036715088</v>
      </c>
      <c r="L49" s="8">
        <v>0</v>
      </c>
      <c r="M49" s="8">
        <v>0.18212271976161531</v>
      </c>
      <c r="N49" s="8">
        <v>100</v>
      </c>
      <c r="O49" s="8">
        <v>-6.43962700195857E-2</v>
      </c>
    </row>
    <row r="50" spans="1:15" x14ac:dyDescent="0.2">
      <c r="B50" s="23" t="s">
        <v>256</v>
      </c>
      <c r="C50" s="8">
        <v>77.865233737082235</v>
      </c>
      <c r="D50" s="8">
        <v>0.26430722755629854</v>
      </c>
      <c r="E50" s="8">
        <v>12.169097362876421</v>
      </c>
      <c r="F50" s="8">
        <v>1.2739328396273597</v>
      </c>
      <c r="G50" s="8">
        <v>3.0748503265322087E-2</v>
      </c>
      <c r="H50" s="8">
        <v>0.17808978795243502</v>
      </c>
      <c r="I50" s="8">
        <v>1.0968122628936985</v>
      </c>
      <c r="J50" s="8">
        <v>3.7604689307305366</v>
      </c>
      <c r="K50" s="8">
        <v>3.1440355909979094</v>
      </c>
      <c r="L50" s="8">
        <v>5.0414111543022014E-2</v>
      </c>
      <c r="M50" s="8">
        <v>0.2154341719365713</v>
      </c>
      <c r="N50" s="8">
        <v>100</v>
      </c>
      <c r="O50" s="8">
        <v>0.847206327651989</v>
      </c>
    </row>
    <row r="51" spans="1:15" x14ac:dyDescent="0.2">
      <c r="B51" s="23" t="s">
        <v>257</v>
      </c>
      <c r="C51" s="8">
        <v>77.886994042711876</v>
      </c>
      <c r="D51" s="8">
        <v>0.14897186724879546</v>
      </c>
      <c r="E51" s="8">
        <v>12.15914030437389</v>
      </c>
      <c r="F51" s="8">
        <v>1.1989523316487867</v>
      </c>
      <c r="G51" s="8">
        <v>5.8812396427914221E-2</v>
      </c>
      <c r="H51" s="8">
        <v>0.11665682156370401</v>
      </c>
      <c r="I51" s="8">
        <v>0.71703484851042332</v>
      </c>
      <c r="J51" s="8">
        <v>4.2898987854146862</v>
      </c>
      <c r="K51" s="8">
        <v>3.2230017891272391</v>
      </c>
      <c r="L51" s="8">
        <v>4.9425739035478332E-2</v>
      </c>
      <c r="M51" s="8">
        <v>0.19478522820020908</v>
      </c>
      <c r="N51" s="8">
        <v>100</v>
      </c>
      <c r="O51" s="8">
        <v>-1.3459808138511136</v>
      </c>
    </row>
    <row r="52" spans="1:15" x14ac:dyDescent="0.2">
      <c r="B52" s="23" t="s">
        <v>320</v>
      </c>
      <c r="C52" s="8">
        <v>77.952163913505558</v>
      </c>
      <c r="D52" s="8">
        <v>0.15813578678428611</v>
      </c>
      <c r="E52" s="8">
        <v>12.059918060705927</v>
      </c>
      <c r="F52" s="8">
        <v>1.111982845914359</v>
      </c>
      <c r="G52" s="8">
        <v>2.889146062819337E-2</v>
      </c>
      <c r="H52" s="8">
        <v>0.10275907104784889</v>
      </c>
      <c r="I52" s="8">
        <v>0.72924821709283949</v>
      </c>
      <c r="J52" s="8">
        <v>4.3912101118660214</v>
      </c>
      <c r="K52" s="8">
        <v>3.2692463943080079</v>
      </c>
      <c r="L52" s="8">
        <v>4.5623935905682055E-2</v>
      </c>
      <c r="M52" s="8">
        <v>0.19414289796960485</v>
      </c>
      <c r="N52" s="8">
        <v>100</v>
      </c>
      <c r="O52" s="8">
        <v>-3.3017963090870239E-2</v>
      </c>
    </row>
    <row r="53" spans="1:15" x14ac:dyDescent="0.2">
      <c r="B53" s="23" t="s">
        <v>321</v>
      </c>
      <c r="C53" s="8">
        <v>78.012358806173168</v>
      </c>
      <c r="D53" s="8">
        <v>0.1078203939707353</v>
      </c>
      <c r="E53" s="8">
        <v>12.038099441339071</v>
      </c>
      <c r="F53" s="8">
        <v>1.2530934451947913</v>
      </c>
      <c r="G53" s="8">
        <v>4.3283379640682879E-2</v>
      </c>
      <c r="H53" s="8">
        <v>0.11490926723845105</v>
      </c>
      <c r="I53" s="8">
        <v>0.73005006566450015</v>
      </c>
      <c r="J53" s="8">
        <v>4.4180651002721634</v>
      </c>
      <c r="K53" s="8">
        <v>3.1104521311095756</v>
      </c>
      <c r="L53" s="8">
        <v>0</v>
      </c>
      <c r="M53" s="8">
        <v>0.22245297840023082</v>
      </c>
      <c r="N53" s="8">
        <v>100</v>
      </c>
      <c r="O53" s="8">
        <v>-0.11464067669633948</v>
      </c>
    </row>
    <row r="54" spans="1:15" x14ac:dyDescent="0.2">
      <c r="B54" s="23" t="s">
        <v>259</v>
      </c>
      <c r="C54" s="8">
        <v>78.201988006407007</v>
      </c>
      <c r="D54" s="8">
        <v>0.12788329001483031</v>
      </c>
      <c r="E54" s="8">
        <v>11.999008590221724</v>
      </c>
      <c r="F54" s="8">
        <v>1.2190670727284922</v>
      </c>
      <c r="G54" s="8">
        <v>5.0703074779313635E-2</v>
      </c>
      <c r="H54" s="8">
        <v>0.12416090968739657</v>
      </c>
      <c r="I54" s="8">
        <v>0.76928128089113623</v>
      </c>
      <c r="J54" s="8">
        <v>4.1176697521699301</v>
      </c>
      <c r="K54" s="8">
        <v>3.1996135981808358</v>
      </c>
      <c r="L54" s="8">
        <v>5.8246712722191861E-2</v>
      </c>
      <c r="M54" s="8">
        <v>0.17152213188404497</v>
      </c>
      <c r="N54" s="8">
        <v>100</v>
      </c>
      <c r="O54" s="8">
        <v>-0.12410533475582497</v>
      </c>
    </row>
    <row r="55" spans="1:15" x14ac:dyDescent="0.2">
      <c r="B55" s="23" t="s">
        <v>322</v>
      </c>
      <c r="C55" s="8">
        <v>78.313319573638935</v>
      </c>
      <c r="D55" s="8">
        <v>0.16021970143894165</v>
      </c>
      <c r="E55" s="8">
        <v>12.027680512435781</v>
      </c>
      <c r="F55" s="8">
        <v>1.1486408648338569</v>
      </c>
      <c r="G55" s="8">
        <v>4.2317710217661855E-2</v>
      </c>
      <c r="H55" s="8">
        <v>0.10233197248656468</v>
      </c>
      <c r="I55" s="8">
        <v>0.72283461254354586</v>
      </c>
      <c r="J55" s="8">
        <v>4.2876846172742704</v>
      </c>
      <c r="K55" s="8">
        <v>3.0353885927593858</v>
      </c>
      <c r="L55" s="8">
        <v>0</v>
      </c>
      <c r="M55" s="8">
        <v>0.20610316495859016</v>
      </c>
      <c r="N55" s="8">
        <v>100</v>
      </c>
      <c r="O55" s="8">
        <v>0.91855210421952904</v>
      </c>
    </row>
    <row r="56" spans="1:15" x14ac:dyDescent="0.2">
      <c r="B56" s="24" t="s">
        <v>20</v>
      </c>
      <c r="C56" s="18">
        <f t="shared" ref="C56:O56" si="5">AVERAGE(C37:C55)</f>
        <v>74.397541768359247</v>
      </c>
      <c r="D56" s="18">
        <f t="shared" si="5"/>
        <v>0.4215445099871673</v>
      </c>
      <c r="E56" s="18">
        <f t="shared" si="5"/>
        <v>13.257539802425804</v>
      </c>
      <c r="F56" s="18">
        <f t="shared" si="5"/>
        <v>2.2718098766728456</v>
      </c>
      <c r="G56" s="18">
        <f t="shared" si="5"/>
        <v>5.8418529958247249E-2</v>
      </c>
      <c r="H56" s="18">
        <f t="shared" si="5"/>
        <v>0.4979236543538022</v>
      </c>
      <c r="I56" s="18">
        <f t="shared" si="5"/>
        <v>1.875551813337432</v>
      </c>
      <c r="J56" s="18">
        <f t="shared" si="5"/>
        <v>4.1706215538019009</v>
      </c>
      <c r="K56" s="18">
        <f t="shared" si="5"/>
        <v>2.8400964886438382</v>
      </c>
      <c r="L56" s="18">
        <f t="shared" si="5"/>
        <v>7.4454777211609313E-2</v>
      </c>
      <c r="M56" s="18">
        <f t="shared" si="5"/>
        <v>0.17372696151770761</v>
      </c>
      <c r="N56" s="18">
        <f t="shared" si="5"/>
        <v>100</v>
      </c>
      <c r="O56" s="18">
        <f t="shared" si="5"/>
        <v>5.1548136631396346E-2</v>
      </c>
    </row>
    <row r="57" spans="1:15" x14ac:dyDescent="0.2">
      <c r="B57" s="24" t="s">
        <v>21</v>
      </c>
      <c r="C57" s="18">
        <f t="shared" ref="C57:O57" si="6">STDEV(C37:C55)</f>
        <v>3.9424337551875701</v>
      </c>
      <c r="D57" s="18">
        <f t="shared" si="6"/>
        <v>0.22817782850069332</v>
      </c>
      <c r="E57" s="18">
        <f t="shared" si="6"/>
        <v>1.2968895648224974</v>
      </c>
      <c r="F57" s="18">
        <f t="shared" si="6"/>
        <v>1.0780741422871647</v>
      </c>
      <c r="G57" s="18">
        <f t="shared" si="6"/>
        <v>3.2309736674214072E-2</v>
      </c>
      <c r="H57" s="18">
        <f t="shared" si="6"/>
        <v>0.39992630949065477</v>
      </c>
      <c r="I57" s="18">
        <f t="shared" si="6"/>
        <v>1.0962883986150271</v>
      </c>
      <c r="J57" s="18">
        <f t="shared" si="6"/>
        <v>0.29236387349717807</v>
      </c>
      <c r="K57" s="18">
        <f t="shared" si="6"/>
        <v>0.31783083984574889</v>
      </c>
      <c r="L57" s="18">
        <f t="shared" si="6"/>
        <v>6.1387291835122655E-2</v>
      </c>
      <c r="M57" s="18">
        <f t="shared" si="6"/>
        <v>2.593529936922177E-2</v>
      </c>
      <c r="N57" s="18">
        <f t="shared" si="6"/>
        <v>0</v>
      </c>
      <c r="O57" s="18">
        <f t="shared" si="6"/>
        <v>0.50107287023805469</v>
      </c>
    </row>
    <row r="58" spans="1:15" x14ac:dyDescent="0.2">
      <c r="B58" s="23"/>
    </row>
    <row r="59" spans="1:15" x14ac:dyDescent="0.2">
      <c r="A59" s="1" t="s">
        <v>72</v>
      </c>
      <c r="B59" s="23" t="s">
        <v>323</v>
      </c>
      <c r="C59" s="8">
        <v>67.798870430156285</v>
      </c>
      <c r="D59" s="8">
        <v>0.76317729674779233</v>
      </c>
      <c r="E59" s="8">
        <v>15.180954330088623</v>
      </c>
      <c r="F59" s="8">
        <v>4.3002160830212102</v>
      </c>
      <c r="G59" s="8">
        <v>0.10329129083751445</v>
      </c>
      <c r="H59" s="8">
        <v>1.2100269191569277</v>
      </c>
      <c r="I59" s="8">
        <v>3.71325113311222</v>
      </c>
      <c r="J59" s="8">
        <v>4.352711607629467</v>
      </c>
      <c r="K59" s="8">
        <v>2.3292468318317421</v>
      </c>
      <c r="L59" s="8">
        <v>0.15731801952912203</v>
      </c>
      <c r="M59" s="8">
        <v>0.11729348202412677</v>
      </c>
      <c r="N59" s="8">
        <v>100</v>
      </c>
      <c r="O59" s="8">
        <v>1.5154141504309422</v>
      </c>
    </row>
    <row r="60" spans="1:15" x14ac:dyDescent="0.2">
      <c r="A60" s="5" t="s">
        <v>79</v>
      </c>
      <c r="B60" s="23" t="s">
        <v>324</v>
      </c>
      <c r="C60" s="8">
        <v>68.191288951334059</v>
      </c>
      <c r="D60" s="8">
        <v>0.75141642693776611</v>
      </c>
      <c r="E60" s="8">
        <v>15.006214286536729</v>
      </c>
      <c r="F60" s="8">
        <v>4.2336061765459965</v>
      </c>
      <c r="G60" s="8">
        <v>9.1197732608079979E-2</v>
      </c>
      <c r="H60" s="8">
        <v>1.1929365948616224</v>
      </c>
      <c r="I60" s="8">
        <v>3.4825937407072378</v>
      </c>
      <c r="J60" s="8">
        <v>4.4894438151999871</v>
      </c>
      <c r="K60" s="8">
        <v>2.3205586663359936</v>
      </c>
      <c r="L60" s="8">
        <v>0.11539910509499125</v>
      </c>
      <c r="M60" s="8">
        <v>0.16127866000380031</v>
      </c>
      <c r="N60" s="8">
        <v>100</v>
      </c>
      <c r="O60" s="8">
        <v>0.24532694145089806</v>
      </c>
    </row>
    <row r="61" spans="1:15" x14ac:dyDescent="0.2">
      <c r="B61" s="23" t="s">
        <v>325</v>
      </c>
      <c r="C61" s="8">
        <v>68.629799977455136</v>
      </c>
      <c r="D61" s="8">
        <v>0.73357643171353293</v>
      </c>
      <c r="E61" s="8">
        <v>14.796651830439622</v>
      </c>
      <c r="F61" s="8">
        <v>3.8548601857426217</v>
      </c>
      <c r="G61" s="8">
        <v>0.12227273844089598</v>
      </c>
      <c r="H61" s="8">
        <v>1.1322713676726999</v>
      </c>
      <c r="I61" s="8">
        <v>3.5191000615626225</v>
      </c>
      <c r="J61" s="8">
        <v>4.5526274244563343</v>
      </c>
      <c r="K61" s="8">
        <v>2.3939599523951864</v>
      </c>
      <c r="L61" s="8">
        <v>0.14504690926505051</v>
      </c>
      <c r="M61" s="8">
        <v>0.15473419443008268</v>
      </c>
      <c r="N61" s="8">
        <v>100</v>
      </c>
      <c r="O61" s="8">
        <v>1.6649160449449028</v>
      </c>
    </row>
    <row r="62" spans="1:15" x14ac:dyDescent="0.2">
      <c r="B62" s="23" t="s">
        <v>326</v>
      </c>
      <c r="C62" s="8">
        <v>69.135157909383736</v>
      </c>
      <c r="D62" s="8">
        <v>0.72317508111439854</v>
      </c>
      <c r="E62" s="8">
        <v>14.779835317058357</v>
      </c>
      <c r="F62" s="8">
        <v>3.6955066363556583</v>
      </c>
      <c r="G62" s="8">
        <v>9.21311925889816E-2</v>
      </c>
      <c r="H62" s="8">
        <v>1.1244686756452169</v>
      </c>
      <c r="I62" s="8">
        <v>3.4474695456482629</v>
      </c>
      <c r="J62" s="8">
        <v>4.2354651458295898</v>
      </c>
      <c r="K62" s="8">
        <v>2.4225684406055112</v>
      </c>
      <c r="L62" s="8">
        <v>0.20492367662732358</v>
      </c>
      <c r="M62" s="8">
        <v>0.17992176099090609</v>
      </c>
      <c r="N62" s="8">
        <v>100</v>
      </c>
      <c r="O62" s="8">
        <v>-0.40030678064023562</v>
      </c>
    </row>
    <row r="63" spans="1:15" x14ac:dyDescent="0.2">
      <c r="B63" s="23" t="s">
        <v>327</v>
      </c>
      <c r="C63" s="8">
        <v>71.127137322316898</v>
      </c>
      <c r="D63" s="8">
        <v>0.59626122098204415</v>
      </c>
      <c r="E63" s="8">
        <v>14.388696080259347</v>
      </c>
      <c r="F63" s="8">
        <v>2.9553779455653264</v>
      </c>
      <c r="G63" s="8">
        <v>0.1094762375223801</v>
      </c>
      <c r="H63" s="8">
        <v>0.85966800016277189</v>
      </c>
      <c r="I63" s="8">
        <v>3.0489987543028114</v>
      </c>
      <c r="J63" s="8">
        <v>4.0889697371680089</v>
      </c>
      <c r="K63" s="8">
        <v>2.5608419343698832</v>
      </c>
      <c r="L63" s="8">
        <v>0.16435005318264209</v>
      </c>
      <c r="M63" s="8">
        <v>0.12938850100841814</v>
      </c>
      <c r="N63" s="8">
        <v>100</v>
      </c>
      <c r="O63" s="8">
        <v>0.51357037390434357</v>
      </c>
    </row>
    <row r="64" spans="1:15" x14ac:dyDescent="0.2">
      <c r="B64" s="23" t="s">
        <v>328</v>
      </c>
      <c r="C64" s="8">
        <v>75.637575873002874</v>
      </c>
      <c r="D64" s="8">
        <v>0.35079537972368252</v>
      </c>
      <c r="E64" s="8">
        <v>14.234373544976512</v>
      </c>
      <c r="F64" s="8">
        <v>1.5514445730143114</v>
      </c>
      <c r="G64" s="8">
        <v>4.831871630457249E-2</v>
      </c>
      <c r="H64" s="8">
        <v>0.26649116253124361</v>
      </c>
      <c r="I64" s="8">
        <v>1.0847502873177317</v>
      </c>
      <c r="J64" s="8">
        <v>3.6385015852441369</v>
      </c>
      <c r="K64" s="8">
        <v>3.078084779334179</v>
      </c>
      <c r="L64" s="8">
        <v>0</v>
      </c>
      <c r="M64" s="8">
        <v>0.14158781190459596</v>
      </c>
      <c r="N64" s="8">
        <v>100</v>
      </c>
      <c r="O64" s="8">
        <v>3.9585412255488279</v>
      </c>
    </row>
    <row r="65" spans="2:15" x14ac:dyDescent="0.2">
      <c r="B65" s="23" t="s">
        <v>329</v>
      </c>
      <c r="C65" s="8">
        <v>75.859708063144055</v>
      </c>
      <c r="D65" s="8">
        <v>0.30240458834999195</v>
      </c>
      <c r="E65" s="8">
        <v>13.042238017072632</v>
      </c>
      <c r="F65" s="8">
        <v>1.5726085481512169</v>
      </c>
      <c r="G65" s="8">
        <v>5.5260266455253941E-2</v>
      </c>
      <c r="H65" s="8">
        <v>0.34325017549164089</v>
      </c>
      <c r="I65" s="8">
        <v>1.522312005986282</v>
      </c>
      <c r="J65" s="8">
        <v>4.1350750227504118</v>
      </c>
      <c r="K65" s="8">
        <v>2.9400047275446299</v>
      </c>
      <c r="L65" s="8">
        <v>5.8331002713744702E-2</v>
      </c>
      <c r="M65" s="8">
        <v>0.21783647183362528</v>
      </c>
      <c r="N65" s="8">
        <v>100</v>
      </c>
      <c r="O65" s="8">
        <v>-0.10628530861974639</v>
      </c>
    </row>
    <row r="66" spans="2:15" x14ac:dyDescent="0.2">
      <c r="B66" s="23" t="s">
        <v>330</v>
      </c>
      <c r="C66" s="8">
        <v>75.947489074523389</v>
      </c>
      <c r="D66" s="8">
        <v>0.36877993222002092</v>
      </c>
      <c r="E66" s="8">
        <v>12.878705120961664</v>
      </c>
      <c r="F66" s="8">
        <v>1.9629093028422777</v>
      </c>
      <c r="G66" s="8">
        <v>5.1257175931745211E-2</v>
      </c>
      <c r="H66" s="8">
        <v>0.32105027251919599</v>
      </c>
      <c r="I66" s="8">
        <v>1.4278741591384809</v>
      </c>
      <c r="J66" s="8">
        <v>3.972446231070728</v>
      </c>
      <c r="K66" s="8">
        <v>2.9391034782206331</v>
      </c>
      <c r="L66" s="8">
        <v>0</v>
      </c>
      <c r="M66" s="8">
        <v>0.16839788824715107</v>
      </c>
      <c r="N66" s="8">
        <v>100</v>
      </c>
      <c r="O66" s="8">
        <v>0.63830268796095879</v>
      </c>
    </row>
    <row r="67" spans="2:15" x14ac:dyDescent="0.2">
      <c r="B67" s="23" t="s">
        <v>331</v>
      </c>
      <c r="C67" s="8">
        <v>76.772219007048406</v>
      </c>
      <c r="D67" s="8">
        <v>0.38435201725466522</v>
      </c>
      <c r="E67" s="8">
        <v>12.420655339853649</v>
      </c>
      <c r="F67" s="8">
        <v>1.8196584968927232</v>
      </c>
      <c r="G67" s="8">
        <v>6.3971428938671734E-2</v>
      </c>
      <c r="H67" s="8">
        <v>0.27680541087998783</v>
      </c>
      <c r="I67" s="8">
        <v>1.3459420184082351</v>
      </c>
      <c r="J67" s="8">
        <v>3.7496713437298124</v>
      </c>
      <c r="K67" s="8">
        <v>3.0144740391619322</v>
      </c>
      <c r="L67" s="8">
        <v>0</v>
      </c>
      <c r="M67" s="8">
        <v>0.19681179381400049</v>
      </c>
      <c r="N67" s="8">
        <v>100</v>
      </c>
      <c r="O67" s="8">
        <v>0.27579333711753407</v>
      </c>
    </row>
    <row r="68" spans="2:15" x14ac:dyDescent="0.2">
      <c r="B68" s="23" t="s">
        <v>332</v>
      </c>
      <c r="C68" s="8">
        <v>77.589041223150204</v>
      </c>
      <c r="D68" s="8">
        <v>0.22891806708948301</v>
      </c>
      <c r="E68" s="8">
        <v>12.314068645594752</v>
      </c>
      <c r="F68" s="8">
        <v>1.3151235269377792</v>
      </c>
      <c r="G68" s="8">
        <v>4.5565001901182685E-2</v>
      </c>
      <c r="H68" s="8">
        <v>0.21850210965272451</v>
      </c>
      <c r="I68" s="8">
        <v>1.1240258600568103</v>
      </c>
      <c r="J68" s="8">
        <v>3.8408767070921122</v>
      </c>
      <c r="K68" s="8">
        <v>3.1706937774318504</v>
      </c>
      <c r="L68" s="8">
        <v>1.2651710992771526E-2</v>
      </c>
      <c r="M68" s="8">
        <v>0.18158735678407251</v>
      </c>
      <c r="N68" s="8">
        <v>100</v>
      </c>
      <c r="O68" s="8">
        <v>1.2860789569449622</v>
      </c>
    </row>
    <row r="69" spans="2:15" x14ac:dyDescent="0.2">
      <c r="B69" s="23" t="s">
        <v>333</v>
      </c>
      <c r="C69" s="8">
        <v>77.846070282716838</v>
      </c>
      <c r="D69" s="8">
        <v>0.15929912659533568</v>
      </c>
      <c r="E69" s="8">
        <v>12.049354695456772</v>
      </c>
      <c r="F69" s="8">
        <v>1.2144233863282612</v>
      </c>
      <c r="G69" s="8">
        <v>6.4622700570219765E-2</v>
      </c>
      <c r="H69" s="8">
        <v>9.0359923253081426E-2</v>
      </c>
      <c r="I69" s="8">
        <v>0.72154708276276025</v>
      </c>
      <c r="J69" s="8">
        <v>4.4097440258052014</v>
      </c>
      <c r="K69" s="8">
        <v>3.2901234811157054</v>
      </c>
      <c r="L69" s="8">
        <v>0</v>
      </c>
      <c r="M69" s="8">
        <v>0.1991583643630116</v>
      </c>
      <c r="N69" s="8">
        <v>100</v>
      </c>
      <c r="O69" s="8">
        <v>-0.12735374574883451</v>
      </c>
    </row>
    <row r="70" spans="2:15" x14ac:dyDescent="0.2">
      <c r="B70" s="23" t="s">
        <v>334</v>
      </c>
      <c r="C70" s="8">
        <v>77.874391359299096</v>
      </c>
      <c r="D70" s="8">
        <v>0.15627420992500476</v>
      </c>
      <c r="E70" s="8">
        <v>12.052446764366422</v>
      </c>
      <c r="F70" s="8">
        <v>1.1644040026393865</v>
      </c>
      <c r="G70" s="8">
        <v>5.0906282435851845E-2</v>
      </c>
      <c r="H70" s="8">
        <v>7.0534067644948864E-2</v>
      </c>
      <c r="I70" s="8">
        <v>0.76927756000530656</v>
      </c>
      <c r="J70" s="8">
        <v>4.4434046546754047</v>
      </c>
      <c r="K70" s="8">
        <v>3.1786394856196734</v>
      </c>
      <c r="L70" s="8">
        <v>4.5926550774334947E-2</v>
      </c>
      <c r="M70" s="8">
        <v>0.25029975226551382</v>
      </c>
      <c r="N70" s="8">
        <v>100</v>
      </c>
      <c r="O70" s="8">
        <v>1.0790071668344723</v>
      </c>
    </row>
    <row r="71" spans="2:15" x14ac:dyDescent="0.2">
      <c r="B71" s="23" t="s">
        <v>335</v>
      </c>
      <c r="C71" s="8">
        <v>77.925978205558877</v>
      </c>
      <c r="D71" s="8">
        <v>0.17466415282090542</v>
      </c>
      <c r="E71" s="8">
        <v>11.999111175502204</v>
      </c>
      <c r="F71" s="8">
        <v>1.1143346113411661</v>
      </c>
      <c r="G71" s="8">
        <v>8.0579264570480799E-2</v>
      </c>
      <c r="H71" s="8">
        <v>0.11989659652081161</v>
      </c>
      <c r="I71" s="8">
        <v>0.741261866807018</v>
      </c>
      <c r="J71" s="8">
        <v>4.3506870528891097</v>
      </c>
      <c r="K71" s="8">
        <v>3.3328172087189656</v>
      </c>
      <c r="L71" s="8">
        <v>0</v>
      </c>
      <c r="M71" s="8">
        <v>0.2074669719792204</v>
      </c>
      <c r="N71" s="8">
        <v>100</v>
      </c>
      <c r="O71" s="8">
        <v>0.54513350651963322</v>
      </c>
    </row>
    <row r="72" spans="2:15" x14ac:dyDescent="0.2">
      <c r="B72" s="23" t="s">
        <v>336</v>
      </c>
      <c r="C72" s="8">
        <v>77.966520254777691</v>
      </c>
      <c r="D72" s="8">
        <v>0.12132933079577178</v>
      </c>
      <c r="E72" s="8">
        <v>12.258209532319984</v>
      </c>
      <c r="F72" s="8">
        <v>1.111549336370327</v>
      </c>
      <c r="G72" s="8">
        <v>5.7119565130642147E-2</v>
      </c>
      <c r="H72" s="8">
        <v>0.10479263599246896</v>
      </c>
      <c r="I72" s="8">
        <v>0.7053125201795708</v>
      </c>
      <c r="J72" s="8">
        <v>4.2418566290463655</v>
      </c>
      <c r="K72" s="8">
        <v>3.2117180789404101</v>
      </c>
      <c r="L72" s="8">
        <v>5.0463872876332284E-2</v>
      </c>
      <c r="M72" s="8">
        <v>0.22091598907620583</v>
      </c>
      <c r="N72" s="8">
        <v>100</v>
      </c>
      <c r="O72" s="8">
        <v>1.4978495173857169</v>
      </c>
    </row>
    <row r="73" spans="2:15" x14ac:dyDescent="0.2">
      <c r="B73" s="23" t="s">
        <v>337</v>
      </c>
      <c r="C73" s="8">
        <v>77.970101661283323</v>
      </c>
      <c r="D73" s="8">
        <v>9.7566493433598286E-2</v>
      </c>
      <c r="E73" s="8">
        <v>12.145824955928706</v>
      </c>
      <c r="F73" s="8">
        <v>1.1542488701621854</v>
      </c>
      <c r="G73" s="8">
        <v>3.6243120894788088E-2</v>
      </c>
      <c r="H73" s="8">
        <v>0.11421541804756168</v>
      </c>
      <c r="I73" s="8">
        <v>0.74990272011059611</v>
      </c>
      <c r="J73" s="8">
        <v>4.3260038384457191</v>
      </c>
      <c r="K73" s="8">
        <v>3.2081941827367593</v>
      </c>
      <c r="L73" s="8">
        <v>4.161731785626001E-3</v>
      </c>
      <c r="M73" s="8">
        <v>0.25012237740830101</v>
      </c>
      <c r="N73" s="8">
        <v>100</v>
      </c>
      <c r="O73" s="8">
        <v>-0.12658707108887768</v>
      </c>
    </row>
    <row r="74" spans="2:15" x14ac:dyDescent="0.2">
      <c r="B74" s="23" t="s">
        <v>338</v>
      </c>
      <c r="C74" s="8">
        <v>77.982739778537592</v>
      </c>
      <c r="D74" s="8">
        <v>0.17339346514268136</v>
      </c>
      <c r="E74" s="8">
        <v>12.213550433468875</v>
      </c>
      <c r="F74" s="8">
        <v>1.1778701570869767</v>
      </c>
      <c r="G74" s="8">
        <v>1.1652055365983975E-2</v>
      </c>
      <c r="H74" s="8">
        <v>0.12363672028759114</v>
      </c>
      <c r="I74" s="8">
        <v>0.72454424793734729</v>
      </c>
      <c r="J74" s="8">
        <v>4.150348270757668</v>
      </c>
      <c r="K74" s="8">
        <v>3.2277189461408757</v>
      </c>
      <c r="L74" s="8">
        <v>3.7633166626046988E-2</v>
      </c>
      <c r="M74" s="8">
        <v>0.22847902286683253</v>
      </c>
      <c r="N74" s="8">
        <v>100</v>
      </c>
      <c r="O74" s="8">
        <v>0.74712454798418548</v>
      </c>
    </row>
    <row r="75" spans="2:15" x14ac:dyDescent="0.2">
      <c r="B75" s="23" t="s">
        <v>339</v>
      </c>
      <c r="C75" s="8">
        <v>77.999567305684479</v>
      </c>
      <c r="D75" s="8">
        <v>0.14048638388470464</v>
      </c>
      <c r="E75" s="8">
        <v>12.163927228106497</v>
      </c>
      <c r="F75" s="8">
        <v>1.1993634645400086</v>
      </c>
      <c r="G75" s="8">
        <v>4.7868805276140611E-2</v>
      </c>
      <c r="H75" s="8">
        <v>0.10036868935663279</v>
      </c>
      <c r="I75" s="8">
        <v>0.73750579549549611</v>
      </c>
      <c r="J75" s="8">
        <v>4.1823618463986394</v>
      </c>
      <c r="K75" s="8">
        <v>3.1970435114118292</v>
      </c>
      <c r="L75" s="8">
        <v>6.6628971723116784E-2</v>
      </c>
      <c r="M75" s="8">
        <v>0.21309858150373268</v>
      </c>
      <c r="N75" s="8">
        <v>100</v>
      </c>
      <c r="O75" s="8">
        <v>-6.3078081195470759E-2</v>
      </c>
    </row>
    <row r="76" spans="2:15" x14ac:dyDescent="0.2">
      <c r="B76" s="23" t="s">
        <v>340</v>
      </c>
      <c r="C76" s="8">
        <v>78.024605031388717</v>
      </c>
      <c r="D76" s="8">
        <v>0.1336895194902227</v>
      </c>
      <c r="E76" s="8">
        <v>12.180634049069848</v>
      </c>
      <c r="F76" s="8">
        <v>1.2229008052076762</v>
      </c>
      <c r="G76" s="8">
        <v>2.1801351914171388E-2</v>
      </c>
      <c r="H76" s="8">
        <v>0.10430857223948163</v>
      </c>
      <c r="I76" s="8">
        <v>0.71909808304259604</v>
      </c>
      <c r="J76" s="8">
        <v>4.1676156578154426</v>
      </c>
      <c r="K76" s="8">
        <v>3.2205536351143933</v>
      </c>
      <c r="L76" s="8">
        <v>4.1726834105114047E-2</v>
      </c>
      <c r="M76" s="8">
        <v>0.21011443504822483</v>
      </c>
      <c r="N76" s="8">
        <v>100</v>
      </c>
      <c r="O76" s="8">
        <v>0.1529809449555728</v>
      </c>
    </row>
    <row r="77" spans="2:15" x14ac:dyDescent="0.2">
      <c r="B77" s="23" t="s">
        <v>341</v>
      </c>
      <c r="C77" s="8">
        <v>78.048183824713163</v>
      </c>
      <c r="D77" s="8">
        <v>0.14050266612012258</v>
      </c>
      <c r="E77" s="8">
        <v>11.961285380507478</v>
      </c>
      <c r="F77" s="8">
        <v>1.092297105642668</v>
      </c>
      <c r="G77" s="8">
        <v>4.6399889270877251E-2</v>
      </c>
      <c r="H77" s="8">
        <v>8.4720790564880993E-2</v>
      </c>
      <c r="I77" s="8">
        <v>0.70046818111645492</v>
      </c>
      <c r="J77" s="8">
        <v>4.5965058413675619</v>
      </c>
      <c r="K77" s="8">
        <v>3.1320477845378627</v>
      </c>
      <c r="L77" s="8">
        <v>1.2491051817757951E-2</v>
      </c>
      <c r="M77" s="8">
        <v>0.23843275145360318</v>
      </c>
      <c r="N77" s="8">
        <v>100</v>
      </c>
      <c r="O77" s="8">
        <v>-0.3838602460513556</v>
      </c>
    </row>
    <row r="78" spans="2:15" x14ac:dyDescent="0.2">
      <c r="B78" s="23" t="s">
        <v>342</v>
      </c>
      <c r="C78" s="8">
        <v>78.096133190486057</v>
      </c>
      <c r="D78" s="8">
        <v>0.12556675960164507</v>
      </c>
      <c r="E78" s="8">
        <v>12.225092347097199</v>
      </c>
      <c r="F78" s="8">
        <v>1.122729945639924</v>
      </c>
      <c r="G78" s="8">
        <v>8.6018062118919741E-2</v>
      </c>
      <c r="H78" s="8">
        <v>0.11717373952409732</v>
      </c>
      <c r="I78" s="8">
        <v>0.70470238324425116</v>
      </c>
      <c r="J78" s="8">
        <v>4.180366885501611</v>
      </c>
      <c r="K78" s="8">
        <v>3.1440321019057595</v>
      </c>
      <c r="L78" s="8">
        <v>5.8625402414331701E-2</v>
      </c>
      <c r="M78" s="8">
        <v>0.18020099045318497</v>
      </c>
      <c r="N78" s="8">
        <v>100</v>
      </c>
      <c r="O78" s="8">
        <v>1.3823400453684513</v>
      </c>
    </row>
    <row r="79" spans="2:15" x14ac:dyDescent="0.2">
      <c r="B79" s="23" t="s">
        <v>343</v>
      </c>
      <c r="C79" s="8">
        <v>78.100283389516434</v>
      </c>
      <c r="D79" s="8">
        <v>0.15037033191918966</v>
      </c>
      <c r="E79" s="8">
        <v>12.089422428424031</v>
      </c>
      <c r="F79" s="8">
        <v>1.0834128886374064</v>
      </c>
      <c r="G79" s="8">
        <v>3.348948840523968E-2</v>
      </c>
      <c r="H79" s="8">
        <v>0.12879903502681964</v>
      </c>
      <c r="I79" s="8">
        <v>0.72840312009172137</v>
      </c>
      <c r="J79" s="8">
        <v>4.3252449462611722</v>
      </c>
      <c r="K79" s="8">
        <v>3.1809388470685818</v>
      </c>
      <c r="L79" s="8">
        <v>3.7629817957056014E-2</v>
      </c>
      <c r="M79" s="8">
        <v>0.18314510868040501</v>
      </c>
      <c r="N79" s="8">
        <v>100</v>
      </c>
      <c r="O79" s="8">
        <v>-4.0345778343407801E-2</v>
      </c>
    </row>
    <row r="80" spans="2:15" x14ac:dyDescent="0.2">
      <c r="B80" s="23" t="s">
        <v>344</v>
      </c>
      <c r="C80" s="8">
        <v>78.138151127429339</v>
      </c>
      <c r="D80" s="8">
        <v>0.1175789048291588</v>
      </c>
      <c r="E80" s="8">
        <v>12.157423163160345</v>
      </c>
      <c r="F80" s="8">
        <v>1.1444729722273361</v>
      </c>
      <c r="G80" s="8">
        <v>4.9383120011579344E-2</v>
      </c>
      <c r="H80" s="8">
        <v>0.11560626226212012</v>
      </c>
      <c r="I80" s="8">
        <v>0.74855029793888583</v>
      </c>
      <c r="J80" s="8">
        <v>4.1253550735302413</v>
      </c>
      <c r="K80" s="8">
        <v>3.241053831424423</v>
      </c>
      <c r="L80" s="8">
        <v>1.2510417091823232E-2</v>
      </c>
      <c r="M80" s="8">
        <v>0.19348711157550544</v>
      </c>
      <c r="N80" s="8">
        <v>100</v>
      </c>
      <c r="O80" s="8">
        <v>8.3267342301795111E-2</v>
      </c>
    </row>
    <row r="81" spans="2:15" x14ac:dyDescent="0.2">
      <c r="B81" s="23" t="s">
        <v>345</v>
      </c>
      <c r="C81" s="8">
        <v>78.147099291589683</v>
      </c>
      <c r="D81" s="8">
        <v>0.13447516096428216</v>
      </c>
      <c r="E81" s="8">
        <v>12.000593448882068</v>
      </c>
      <c r="F81" s="8">
        <v>1.2260626322517887</v>
      </c>
      <c r="G81" s="8">
        <v>6.6094148256975363E-2</v>
      </c>
      <c r="H81" s="8">
        <v>0.10169575276834328</v>
      </c>
      <c r="I81" s="8">
        <v>0.71624553874732821</v>
      </c>
      <c r="J81" s="8">
        <v>4.3154058322235498</v>
      </c>
      <c r="K81" s="8">
        <v>3.0708025762844264</v>
      </c>
      <c r="L81" s="8">
        <v>5.0626517675694968E-2</v>
      </c>
      <c r="M81" s="8">
        <v>0.22059743806775159</v>
      </c>
      <c r="N81" s="8">
        <v>100</v>
      </c>
      <c r="O81" s="8">
        <v>1.743192532712257</v>
      </c>
    </row>
    <row r="82" spans="2:15" x14ac:dyDescent="0.2">
      <c r="B82" s="23" t="s">
        <v>346</v>
      </c>
      <c r="C82" s="8">
        <v>78.166586248573751</v>
      </c>
      <c r="D82" s="8">
        <v>0.12462898490196644</v>
      </c>
      <c r="E82" s="8">
        <v>12.173879410003483</v>
      </c>
      <c r="F82" s="8">
        <v>1.1230869714048199</v>
      </c>
      <c r="G82" s="8">
        <v>3.77143915917343E-2</v>
      </c>
      <c r="H82" s="8">
        <v>0.10657928363167356</v>
      </c>
      <c r="I82" s="8">
        <v>0.70770699045224028</v>
      </c>
      <c r="J82" s="8">
        <v>4.1322133222084636</v>
      </c>
      <c r="K82" s="8">
        <v>3.2259016588628926</v>
      </c>
      <c r="L82" s="8">
        <v>4.5814321207797867E-2</v>
      </c>
      <c r="M82" s="8">
        <v>0.20100117753115548</v>
      </c>
      <c r="N82" s="8">
        <v>100</v>
      </c>
      <c r="O82" s="8">
        <v>-6.2597876485085635E-2</v>
      </c>
    </row>
    <row r="83" spans="2:15" x14ac:dyDescent="0.2">
      <c r="B83" s="23" t="s">
        <v>347</v>
      </c>
      <c r="C83" s="8">
        <v>78.171061738508271</v>
      </c>
      <c r="D83" s="8">
        <v>0.11083650051607827</v>
      </c>
      <c r="E83" s="8">
        <v>12.034438925504547</v>
      </c>
      <c r="F83" s="8">
        <v>1.1981317765988366</v>
      </c>
      <c r="G83" s="8">
        <v>5.7968964581048138E-2</v>
      </c>
      <c r="H83" s="8">
        <v>9.2016432573203494E-2</v>
      </c>
      <c r="I83" s="8">
        <v>0.72590663589679949</v>
      </c>
      <c r="J83" s="8">
        <v>4.3530094224811275</v>
      </c>
      <c r="K83" s="8">
        <v>3.0973689721492552</v>
      </c>
      <c r="L83" s="8">
        <v>0</v>
      </c>
      <c r="M83" s="8">
        <v>0.20521842231660936</v>
      </c>
      <c r="N83" s="8">
        <v>100</v>
      </c>
      <c r="O83" s="8">
        <v>-0.14841634583895313</v>
      </c>
    </row>
    <row r="84" spans="2:15" x14ac:dyDescent="0.2">
      <c r="B84" s="23" t="s">
        <v>348</v>
      </c>
      <c r="C84" s="8">
        <v>78.219205097890892</v>
      </c>
      <c r="D84" s="8">
        <v>0.18364328906748981</v>
      </c>
      <c r="E84" s="8">
        <v>12.012186750238699</v>
      </c>
      <c r="F84" s="8">
        <v>1.149831693939074</v>
      </c>
      <c r="G84" s="8">
        <v>4.1230828236499359E-2</v>
      </c>
      <c r="H84" s="8">
        <v>9.9530702057869819E-2</v>
      </c>
      <c r="I84" s="8">
        <v>0.74720469456178229</v>
      </c>
      <c r="J84" s="8">
        <v>4.2022547433865585</v>
      </c>
      <c r="K84" s="8">
        <v>3.1782429831663968</v>
      </c>
      <c r="L84" s="8">
        <v>0</v>
      </c>
      <c r="M84" s="8">
        <v>0.21527164250591796</v>
      </c>
      <c r="N84" s="8">
        <v>100</v>
      </c>
      <c r="O84" s="8">
        <v>1.0255147776174312</v>
      </c>
    </row>
    <row r="85" spans="2:15" x14ac:dyDescent="0.2">
      <c r="B85" s="23" t="s">
        <v>349</v>
      </c>
      <c r="C85" s="8">
        <v>78.228199781098922</v>
      </c>
      <c r="D85" s="8">
        <v>0.15646510567262437</v>
      </c>
      <c r="E85" s="8">
        <v>12.008762892265031</v>
      </c>
      <c r="F85" s="8">
        <v>1.1597231829364238</v>
      </c>
      <c r="G85" s="8">
        <v>2.3626210639061326E-2</v>
      </c>
      <c r="H85" s="8">
        <v>0.13272511700580475</v>
      </c>
      <c r="I85" s="8">
        <v>0.73681838076079176</v>
      </c>
      <c r="J85" s="8">
        <v>4.2720804972549073</v>
      </c>
      <c r="K85" s="8">
        <v>3.0996880834858476</v>
      </c>
      <c r="L85" s="8">
        <v>0</v>
      </c>
      <c r="M85" s="8">
        <v>0.23488051605354815</v>
      </c>
      <c r="N85" s="8">
        <v>100</v>
      </c>
      <c r="O85" s="8">
        <v>1.5627162760113009</v>
      </c>
    </row>
    <row r="86" spans="2:15" x14ac:dyDescent="0.2">
      <c r="B86" s="23" t="s">
        <v>350</v>
      </c>
      <c r="C86" s="8">
        <v>78.231526949921474</v>
      </c>
      <c r="D86" s="8">
        <v>0.12346829946860419</v>
      </c>
      <c r="E86" s="8">
        <v>12.172041431796208</v>
      </c>
      <c r="F86" s="8">
        <v>1.1986423518288534</v>
      </c>
      <c r="G86" s="8">
        <v>1.4688510243930818E-2</v>
      </c>
      <c r="H86" s="8">
        <v>0.12135909700540899</v>
      </c>
      <c r="I86" s="8">
        <v>0.73524834405958206</v>
      </c>
      <c r="J86" s="8">
        <v>4.0848693347426046</v>
      </c>
      <c r="K86" s="8">
        <v>3.1699831958005689</v>
      </c>
      <c r="L86" s="8">
        <v>4.2194170197028587E-3</v>
      </c>
      <c r="M86" s="8">
        <v>0.18591951731479389</v>
      </c>
      <c r="N86" s="8">
        <v>100</v>
      </c>
      <c r="O86" s="8">
        <v>1.1948811759404805</v>
      </c>
    </row>
    <row r="87" spans="2:15" x14ac:dyDescent="0.2">
      <c r="B87" s="23" t="s">
        <v>351</v>
      </c>
      <c r="C87" s="8">
        <v>78.245497847959271</v>
      </c>
      <c r="D87" s="8">
        <v>0.13225212940001158</v>
      </c>
      <c r="E87" s="8">
        <v>12.124239976742945</v>
      </c>
      <c r="F87" s="8">
        <v>1.1330686790250628</v>
      </c>
      <c r="G87" s="8">
        <v>5.6765066831084336E-2</v>
      </c>
      <c r="H87" s="8">
        <v>0.11332606269632342</v>
      </c>
      <c r="I87" s="8">
        <v>0.73846311798485265</v>
      </c>
      <c r="J87" s="8">
        <v>4.1746352971949108</v>
      </c>
      <c r="K87" s="8">
        <v>3.1056587836872032</v>
      </c>
      <c r="L87" s="8">
        <v>0</v>
      </c>
      <c r="M87" s="8">
        <v>0.22740678386535179</v>
      </c>
      <c r="N87" s="8">
        <v>100</v>
      </c>
      <c r="O87" s="8">
        <v>1.0148263064650962</v>
      </c>
    </row>
    <row r="88" spans="2:15" x14ac:dyDescent="0.2">
      <c r="B88" s="23" t="s">
        <v>352</v>
      </c>
      <c r="C88" s="8">
        <v>78.246160550371798</v>
      </c>
      <c r="D88" s="8">
        <v>0.17150334129298811</v>
      </c>
      <c r="E88" s="8">
        <v>12.079076190250703</v>
      </c>
      <c r="F88" s="8">
        <v>1.1033943640685682</v>
      </c>
      <c r="G88" s="8">
        <v>6.1069901958507949E-2</v>
      </c>
      <c r="H88" s="8">
        <v>0.10319721396977581</v>
      </c>
      <c r="I88" s="8">
        <v>0.71930840211120961</v>
      </c>
      <c r="J88" s="8">
        <v>4.0688767209287873</v>
      </c>
      <c r="K88" s="8">
        <v>3.2783140486270761</v>
      </c>
      <c r="L88" s="8">
        <v>1.6699520089164935E-2</v>
      </c>
      <c r="M88" s="8">
        <v>0.19720414171765657</v>
      </c>
      <c r="N88" s="8">
        <v>100</v>
      </c>
      <c r="O88" s="8">
        <v>3.1143958757979817E-3</v>
      </c>
    </row>
    <row r="89" spans="2:15" x14ac:dyDescent="0.2">
      <c r="B89" s="23" t="s">
        <v>353</v>
      </c>
      <c r="C89" s="8">
        <v>78.255607764917599</v>
      </c>
      <c r="D89" s="8">
        <v>0.15472781645748315</v>
      </c>
      <c r="E89" s="8">
        <v>11.979720761869093</v>
      </c>
      <c r="F89" s="8">
        <v>1.1011368396500516</v>
      </c>
      <c r="G89" s="8">
        <v>3.2067163388394257E-2</v>
      </c>
      <c r="H89" s="8">
        <v>0.11574586555111517</v>
      </c>
      <c r="I89" s="8">
        <v>0.68688837267280767</v>
      </c>
      <c r="J89" s="8">
        <v>4.1823532610716123</v>
      </c>
      <c r="K89" s="8">
        <v>3.2473003603961414</v>
      </c>
      <c r="L89" s="8">
        <v>9.2076597246840267E-2</v>
      </c>
      <c r="M89" s="8">
        <v>0.19677069181082829</v>
      </c>
      <c r="N89" s="8">
        <v>100</v>
      </c>
      <c r="O89" s="8">
        <v>0.74893867438605355</v>
      </c>
    </row>
    <row r="90" spans="2:15" x14ac:dyDescent="0.2">
      <c r="B90" s="23" t="s">
        <v>354</v>
      </c>
      <c r="C90" s="8">
        <v>78.256701426667888</v>
      </c>
      <c r="D90" s="8">
        <v>0.14265263505296907</v>
      </c>
      <c r="E90" s="8">
        <v>12.137769548866533</v>
      </c>
      <c r="F90" s="8">
        <v>1.128999604881495</v>
      </c>
      <c r="G90" s="8">
        <v>4.2135354233105771E-2</v>
      </c>
      <c r="H90" s="8">
        <v>9.5004299963262373E-2</v>
      </c>
      <c r="I90" s="8">
        <v>0.72870372698835484</v>
      </c>
      <c r="J90" s="8">
        <v>4.1715923125072694</v>
      </c>
      <c r="K90" s="8">
        <v>3.1205173259488754</v>
      </c>
      <c r="L90" s="8">
        <v>4.1732844551966358E-3</v>
      </c>
      <c r="M90" s="8">
        <v>0.22228046443598803</v>
      </c>
      <c r="N90" s="8">
        <v>100</v>
      </c>
      <c r="O90" s="8">
        <v>0.12662580884118313</v>
      </c>
    </row>
    <row r="91" spans="2:15" x14ac:dyDescent="0.2">
      <c r="B91" s="23" t="s">
        <v>355</v>
      </c>
      <c r="C91" s="8">
        <v>78.264789851868244</v>
      </c>
      <c r="D91" s="8">
        <v>0.16839235683618287</v>
      </c>
      <c r="E91" s="8">
        <v>12.078125028902273</v>
      </c>
      <c r="F91" s="8">
        <v>1.0720759764142795</v>
      </c>
      <c r="G91" s="8">
        <v>6.0937185034528135E-2</v>
      </c>
      <c r="H91" s="8">
        <v>0.1176516333845431</v>
      </c>
      <c r="I91" s="8">
        <v>0.73212470936998109</v>
      </c>
      <c r="J91" s="8">
        <v>4.0793932423076917</v>
      </c>
      <c r="K91" s="8">
        <v>3.2839372480787783</v>
      </c>
      <c r="L91" s="8">
        <v>0</v>
      </c>
      <c r="M91" s="8">
        <v>0.1837738998231756</v>
      </c>
      <c r="N91" s="8">
        <v>100</v>
      </c>
      <c r="O91" s="8">
        <v>-0.17200493493828617</v>
      </c>
    </row>
    <row r="92" spans="2:15" x14ac:dyDescent="0.2">
      <c r="B92" s="23" t="s">
        <v>356</v>
      </c>
      <c r="C92" s="8">
        <v>78.276906659448969</v>
      </c>
      <c r="D92" s="8">
        <v>0.167055977526118</v>
      </c>
      <c r="E92" s="8">
        <v>11.803101114510659</v>
      </c>
      <c r="F92" s="8">
        <v>1.0965373621746854</v>
      </c>
      <c r="G92" s="8">
        <v>1.7838269360799245E-2</v>
      </c>
      <c r="H92" s="8">
        <v>8.4925227500530415E-2</v>
      </c>
      <c r="I92" s="8">
        <v>0.72990766445956357</v>
      </c>
      <c r="J92" s="8">
        <v>4.2702140390974597</v>
      </c>
      <c r="K92" s="8">
        <v>3.3835318709800846</v>
      </c>
      <c r="L92" s="8">
        <v>0</v>
      </c>
      <c r="M92" s="8">
        <v>0.21958455980850838</v>
      </c>
      <c r="N92" s="8">
        <v>100</v>
      </c>
      <c r="O92" s="8">
        <v>2.5578118121813134</v>
      </c>
    </row>
    <row r="93" spans="2:15" x14ac:dyDescent="0.2">
      <c r="B93" s="23" t="s">
        <v>357</v>
      </c>
      <c r="C93" s="8">
        <v>78.3024602164827</v>
      </c>
      <c r="D93" s="8">
        <v>0.16245064504130124</v>
      </c>
      <c r="E93" s="8">
        <v>12.023787985230417</v>
      </c>
      <c r="F93" s="8">
        <v>1.1760976223643735</v>
      </c>
      <c r="G93" s="8">
        <v>5.2212602824730663E-2</v>
      </c>
      <c r="H93" s="8">
        <v>0.12202959653871072</v>
      </c>
      <c r="I93" s="8">
        <v>0.69397993821838233</v>
      </c>
      <c r="J93" s="8">
        <v>4.133529367626223</v>
      </c>
      <c r="K93" s="8">
        <v>3.1790636060785569</v>
      </c>
      <c r="L93" s="8">
        <v>0</v>
      </c>
      <c r="M93" s="8">
        <v>0.19977790946072685</v>
      </c>
      <c r="N93" s="8">
        <v>100</v>
      </c>
      <c r="O93" s="8">
        <v>-7.1624805595064345E-2</v>
      </c>
    </row>
    <row r="94" spans="2:15" x14ac:dyDescent="0.2">
      <c r="B94" s="23" t="s">
        <v>358</v>
      </c>
      <c r="C94" s="8">
        <v>78.41321399992492</v>
      </c>
      <c r="D94" s="8">
        <v>0.10183973331956164</v>
      </c>
      <c r="E94" s="8">
        <v>12.015695717217802</v>
      </c>
      <c r="F94" s="8">
        <v>1.1012304901940506</v>
      </c>
      <c r="G94" s="8">
        <v>2.3424882201175383E-2</v>
      </c>
      <c r="H94" s="8">
        <v>0.10572691529477712</v>
      </c>
      <c r="I94" s="8">
        <v>0.71837481213058596</v>
      </c>
      <c r="J94" s="8">
        <v>4.174260996641495</v>
      </c>
      <c r="K94" s="8">
        <v>3.1719542723486005</v>
      </c>
      <c r="L94" s="8">
        <v>0</v>
      </c>
      <c r="M94" s="8">
        <v>0.22510683920201063</v>
      </c>
      <c r="N94" s="8">
        <v>100</v>
      </c>
      <c r="O94" s="8">
        <v>0.77644873350209309</v>
      </c>
    </row>
    <row r="95" spans="2:15" x14ac:dyDescent="0.2">
      <c r="B95" s="23" t="s">
        <v>359</v>
      </c>
      <c r="C95" s="8">
        <v>78.43912065396394</v>
      </c>
      <c r="D95" s="8">
        <v>0.15027573029063546</v>
      </c>
      <c r="E95" s="8">
        <v>11.895420560823112</v>
      </c>
      <c r="F95" s="8">
        <v>1.1523685543843576</v>
      </c>
      <c r="G95" s="8">
        <v>5.3902577287253263E-2</v>
      </c>
      <c r="H95" s="8">
        <v>0.10024847555801557</v>
      </c>
      <c r="I95" s="8">
        <v>0.70882908954462942</v>
      </c>
      <c r="J95" s="8">
        <v>4.1573532528302053</v>
      </c>
      <c r="K95" s="8">
        <v>3.175573282484311</v>
      </c>
      <c r="L95" s="8">
        <v>0</v>
      </c>
      <c r="M95" s="8">
        <v>0.21522937574000495</v>
      </c>
      <c r="N95" s="8">
        <v>100</v>
      </c>
      <c r="O95" s="8">
        <v>-1.7481005957336038E-2</v>
      </c>
    </row>
    <row r="96" spans="2:15" x14ac:dyDescent="0.2">
      <c r="B96" s="23" t="s">
        <v>360</v>
      </c>
      <c r="C96" s="8">
        <v>78.523868639118305</v>
      </c>
      <c r="D96" s="8">
        <v>0.1236607428782204</v>
      </c>
      <c r="E96" s="8">
        <v>11.870084901979586</v>
      </c>
      <c r="F96" s="8">
        <v>1.1588379761000189</v>
      </c>
      <c r="G96" s="8">
        <v>4.9492748168371431E-2</v>
      </c>
      <c r="H96" s="8">
        <v>0.11542297127696305</v>
      </c>
      <c r="I96" s="8">
        <v>0.766312116395792</v>
      </c>
      <c r="J96" s="8">
        <v>4.0134767859279235</v>
      </c>
      <c r="K96" s="8">
        <v>3.2137941597914685</v>
      </c>
      <c r="L96" s="8">
        <v>1.6723988703805214E-2</v>
      </c>
      <c r="M96" s="8">
        <v>0.19103054737937031</v>
      </c>
      <c r="N96" s="8">
        <v>100</v>
      </c>
      <c r="O96" s="8">
        <v>0.17931549904950828</v>
      </c>
    </row>
    <row r="97" spans="2:15" x14ac:dyDescent="0.2">
      <c r="B97" s="24" t="s">
        <v>20</v>
      </c>
      <c r="C97" s="18">
        <f t="shared" ref="C97:O97" si="7">AVERAGE(C59:C96)</f>
        <v>76.711816314768768</v>
      </c>
      <c r="D97" s="18">
        <f t="shared" si="7"/>
        <v>0.24215542724679567</v>
      </c>
      <c r="E97" s="18">
        <f t="shared" si="7"/>
        <v>12.551252613456143</v>
      </c>
      <c r="F97" s="18">
        <f t="shared" si="7"/>
        <v>1.5616459236607678</v>
      </c>
      <c r="G97" s="18">
        <f t="shared" si="7"/>
        <v>5.4210376113983501E-2</v>
      </c>
      <c r="H97" s="18">
        <f t="shared" si="7"/>
        <v>0.26176494173870646</v>
      </c>
      <c r="I97" s="18">
        <f t="shared" si="7"/>
        <v>1.159445104192826</v>
      </c>
      <c r="J97" s="18">
        <f t="shared" si="7"/>
        <v>4.193178993976197</v>
      </c>
      <c r="K97" s="18">
        <f t="shared" si="7"/>
        <v>3.0720013197404534</v>
      </c>
      <c r="L97" s="18">
        <f t="shared" si="7"/>
        <v>3.8319787920404969E-2</v>
      </c>
      <c r="M97" s="18">
        <f t="shared" si="7"/>
        <v>0.19907403433547155</v>
      </c>
      <c r="N97" s="18">
        <f t="shared" si="7"/>
        <v>100</v>
      </c>
      <c r="O97" s="18">
        <f t="shared" si="7"/>
        <v>0.65260765267718579</v>
      </c>
    </row>
    <row r="98" spans="2:15" x14ac:dyDescent="0.2">
      <c r="B98" s="24" t="s">
        <v>21</v>
      </c>
      <c r="C98" s="18">
        <f t="shared" ref="C98:O98" si="8">STDEV(C59:C96)</f>
        <v>3.1551703024222761</v>
      </c>
      <c r="D98" s="18">
        <f t="shared" si="8"/>
        <v>0.1994359016814933</v>
      </c>
      <c r="E98" s="18">
        <f t="shared" si="8"/>
        <v>0.9925177581359873</v>
      </c>
      <c r="F98" s="18">
        <f t="shared" si="8"/>
        <v>0.92382411025233213</v>
      </c>
      <c r="G98" s="18">
        <f t="shared" si="8"/>
        <v>2.5897264128391849E-2</v>
      </c>
      <c r="H98" s="18">
        <f t="shared" si="8"/>
        <v>0.34140866905496031</v>
      </c>
      <c r="I98" s="18">
        <f t="shared" si="8"/>
        <v>0.92701738787825116</v>
      </c>
      <c r="J98" s="18">
        <f t="shared" si="8"/>
        <v>0.19538363926532976</v>
      </c>
      <c r="K98" s="18">
        <f t="shared" si="8"/>
        <v>0.27998855381318871</v>
      </c>
      <c r="L98" s="18">
        <f t="shared" si="8"/>
        <v>5.3786777192860277E-2</v>
      </c>
      <c r="M98" s="18">
        <f t="shared" si="8"/>
        <v>3.0578241514428381E-2</v>
      </c>
      <c r="N98" s="18">
        <f t="shared" si="8"/>
        <v>0</v>
      </c>
      <c r="O98" s="18">
        <f t="shared" si="8"/>
        <v>0.90617088675933843</v>
      </c>
    </row>
    <row r="99" spans="2:15" x14ac:dyDescent="0.2">
      <c r="B99" s="23"/>
    </row>
    <row r="100" spans="2:15" x14ac:dyDescent="0.2">
      <c r="B100" s="23" t="s">
        <v>35</v>
      </c>
      <c r="C100" s="8">
        <v>74.220100000000002</v>
      </c>
      <c r="D100" s="8">
        <v>0.10199999999999999</v>
      </c>
      <c r="E100" s="8">
        <v>13.128299999999999</v>
      </c>
      <c r="F100" s="8">
        <v>1.6286400000000001</v>
      </c>
      <c r="G100" s="8">
        <v>0.107576</v>
      </c>
      <c r="H100" s="8">
        <v>4.8091000000000002E-2</v>
      </c>
      <c r="I100" s="8">
        <v>0.73449299999999995</v>
      </c>
      <c r="J100" s="8">
        <v>4.0966399999999998</v>
      </c>
      <c r="K100" s="8">
        <v>5.2509300000000003</v>
      </c>
      <c r="L100" s="8">
        <v>4.9095E-2</v>
      </c>
      <c r="M100" s="8">
        <v>0.36042800000000003</v>
      </c>
      <c r="N100" s="8">
        <v>99.644900000000007</v>
      </c>
      <c r="O100" s="8">
        <f t="shared" ref="O100:O104" si="9">100-N100</f>
        <v>0.35509999999999309</v>
      </c>
    </row>
    <row r="101" spans="2:15" x14ac:dyDescent="0.2">
      <c r="B101" s="23" t="s">
        <v>36</v>
      </c>
      <c r="C101" s="8">
        <v>74.008499999999998</v>
      </c>
      <c r="D101" s="8">
        <v>9.5921000000000006E-2</v>
      </c>
      <c r="E101" s="8">
        <v>13.151999999999999</v>
      </c>
      <c r="F101" s="8">
        <v>1.59456</v>
      </c>
      <c r="G101" s="8">
        <v>6.0204000000000001E-2</v>
      </c>
      <c r="H101" s="8">
        <v>5.2047999999999997E-2</v>
      </c>
      <c r="I101" s="8">
        <v>0.71978299999999995</v>
      </c>
      <c r="J101" s="8">
        <v>4.1396199999999999</v>
      </c>
      <c r="K101" s="8">
        <v>5.2607400000000002</v>
      </c>
      <c r="L101" s="8">
        <v>0</v>
      </c>
      <c r="M101" s="8">
        <v>0.42482799999999998</v>
      </c>
      <c r="N101" s="8">
        <v>99.412300000000002</v>
      </c>
      <c r="O101" s="8">
        <f t="shared" si="9"/>
        <v>0.58769999999999811</v>
      </c>
    </row>
    <row r="102" spans="2:15" x14ac:dyDescent="0.2">
      <c r="B102" s="23" t="s">
        <v>37</v>
      </c>
      <c r="C102" s="8">
        <v>73.786100000000005</v>
      </c>
      <c r="D102" s="8">
        <v>9.1908000000000004E-2</v>
      </c>
      <c r="E102" s="8">
        <v>12.925800000000001</v>
      </c>
      <c r="F102" s="8">
        <v>1.5668200000000001</v>
      </c>
      <c r="G102" s="8">
        <v>8.4573999999999996E-2</v>
      </c>
      <c r="H102" s="8">
        <v>4.1093999999999999E-2</v>
      </c>
      <c r="I102" s="8">
        <v>0.69862999999999997</v>
      </c>
      <c r="J102" s="8">
        <v>4.0685200000000004</v>
      </c>
      <c r="K102" s="8">
        <v>5.2278500000000001</v>
      </c>
      <c r="L102" s="8">
        <v>8.1799999999999998E-3</v>
      </c>
      <c r="M102" s="8">
        <v>0.311666</v>
      </c>
      <c r="N102" s="8">
        <v>98.740799999999993</v>
      </c>
      <c r="O102" s="8">
        <f t="shared" si="9"/>
        <v>1.259200000000007</v>
      </c>
    </row>
    <row r="103" spans="2:15" x14ac:dyDescent="0.2">
      <c r="B103" s="23" t="s">
        <v>38</v>
      </c>
      <c r="C103" s="8">
        <v>74.072000000000003</v>
      </c>
      <c r="D103" s="8">
        <v>9.1286999999999993E-2</v>
      </c>
      <c r="E103" s="8">
        <v>13.116099999999999</v>
      </c>
      <c r="F103" s="8">
        <v>1.6444399999999999</v>
      </c>
      <c r="G103" s="8">
        <v>9.8894999999999997E-2</v>
      </c>
      <c r="H103" s="8">
        <v>4.9444000000000002E-2</v>
      </c>
      <c r="I103" s="8">
        <v>0.71284800000000004</v>
      </c>
      <c r="J103" s="8">
        <v>4.0955000000000004</v>
      </c>
      <c r="K103" s="8">
        <v>5.2481600000000004</v>
      </c>
      <c r="L103" s="8">
        <v>0</v>
      </c>
      <c r="M103" s="8">
        <v>0.30082199999999998</v>
      </c>
      <c r="N103" s="8">
        <v>99.361599999999996</v>
      </c>
      <c r="O103" s="8">
        <f t="shared" si="9"/>
        <v>0.6384000000000043</v>
      </c>
    </row>
    <row r="104" spans="2:15" x14ac:dyDescent="0.2">
      <c r="B104" s="23" t="s">
        <v>39</v>
      </c>
      <c r="C104" s="8">
        <v>73.777299999999997</v>
      </c>
      <c r="D104" s="8">
        <v>4.8259999999999997E-2</v>
      </c>
      <c r="E104" s="8">
        <v>13.235799999999999</v>
      </c>
      <c r="F104" s="8">
        <v>1.6363000000000001</v>
      </c>
      <c r="G104" s="8">
        <v>6.1622999999999997E-2</v>
      </c>
      <c r="H104" s="8">
        <v>4.0531999999999999E-2</v>
      </c>
      <c r="I104" s="8">
        <v>0.71329100000000001</v>
      </c>
      <c r="J104" s="8">
        <v>3.68018</v>
      </c>
      <c r="K104" s="8">
        <v>5.15625</v>
      </c>
      <c r="L104" s="8">
        <v>0</v>
      </c>
      <c r="M104" s="8">
        <v>0.32565300000000003</v>
      </c>
      <c r="N104" s="8">
        <v>98.601699999999994</v>
      </c>
      <c r="O104" s="8">
        <f t="shared" si="9"/>
        <v>1.3983000000000061</v>
      </c>
    </row>
    <row r="105" spans="2:15" x14ac:dyDescent="0.2">
      <c r="B105" s="24" t="s">
        <v>20</v>
      </c>
      <c r="C105" s="18">
        <f>AVERAGE(C100:C104)</f>
        <v>73.972800000000007</v>
      </c>
      <c r="D105" s="18">
        <f t="shared" ref="D105:O105" si="10">AVERAGE(D100:D104)</f>
        <v>8.5875199999999999E-2</v>
      </c>
      <c r="E105" s="18">
        <f t="shared" si="10"/>
        <v>13.111599999999999</v>
      </c>
      <c r="F105" s="18">
        <f t="shared" si="10"/>
        <v>1.614152</v>
      </c>
      <c r="G105" s="18">
        <f t="shared" si="10"/>
        <v>8.2574400000000006E-2</v>
      </c>
      <c r="H105" s="18">
        <f t="shared" si="10"/>
        <v>4.62418E-2</v>
      </c>
      <c r="I105" s="18">
        <f t="shared" si="10"/>
        <v>0.71580899999999992</v>
      </c>
      <c r="J105" s="18">
        <f t="shared" si="10"/>
        <v>4.0160920000000004</v>
      </c>
      <c r="K105" s="18">
        <f t="shared" si="10"/>
        <v>5.2287860000000004</v>
      </c>
      <c r="L105" s="18">
        <f t="shared" si="10"/>
        <v>1.1455E-2</v>
      </c>
      <c r="M105" s="18">
        <f t="shared" si="10"/>
        <v>0.34467939999999997</v>
      </c>
      <c r="N105" s="18">
        <f t="shared" si="10"/>
        <v>99.152259999999998</v>
      </c>
      <c r="O105" s="18">
        <f t="shared" si="10"/>
        <v>0.84774000000000171</v>
      </c>
    </row>
    <row r="106" spans="2:15" x14ac:dyDescent="0.2">
      <c r="B106" s="24" t="s">
        <v>21</v>
      </c>
      <c r="C106" s="18">
        <f>STDEV(C100:C104)</f>
        <v>0.19062368688072381</v>
      </c>
      <c r="D106" s="18">
        <f t="shared" ref="D106:O106" si="11">STDEV(D100:D104)</f>
        <v>2.145642560400032E-2</v>
      </c>
      <c r="E106" s="18">
        <f t="shared" si="11"/>
        <v>0.11388434923201643</v>
      </c>
      <c r="F106" s="18">
        <f t="shared" si="11"/>
        <v>3.2565179563453936E-2</v>
      </c>
      <c r="G106" s="18">
        <f t="shared" si="11"/>
        <v>2.1417494865179729E-2</v>
      </c>
      <c r="H106" s="18">
        <f t="shared" si="11"/>
        <v>5.1596328551554906E-3</v>
      </c>
      <c r="I106" s="18">
        <f t="shared" si="11"/>
        <v>1.2991443511019074E-2</v>
      </c>
      <c r="J106" s="18">
        <f t="shared" si="11"/>
        <v>0.18949824832963499</v>
      </c>
      <c r="K106" s="18">
        <f t="shared" si="11"/>
        <v>4.2276217072959713E-2</v>
      </c>
      <c r="L106" s="18">
        <f t="shared" si="11"/>
        <v>2.1337445371927728E-2</v>
      </c>
      <c r="M106" s="18">
        <f t="shared" si="11"/>
        <v>5.0117802463795609E-2</v>
      </c>
      <c r="N106" s="18">
        <f t="shared" si="11"/>
        <v>0.45457503561018903</v>
      </c>
      <c r="O106" s="18">
        <f t="shared" si="11"/>
        <v>0.45457503561018897</v>
      </c>
    </row>
    <row r="107" spans="2:15" x14ac:dyDescent="0.2">
      <c r="B107" s="23"/>
    </row>
    <row r="108" spans="2:15" x14ac:dyDescent="0.2">
      <c r="B108" s="23" t="s">
        <v>40</v>
      </c>
      <c r="C108" s="8">
        <v>75.217549328923965</v>
      </c>
      <c r="D108" s="8">
        <v>0.25812664594056084</v>
      </c>
      <c r="E108" s="8">
        <v>13.060694221584853</v>
      </c>
      <c r="F108" s="8">
        <v>1.6403227517133714</v>
      </c>
      <c r="G108" s="8">
        <v>4.5412644820145287E-2</v>
      </c>
      <c r="H108" s="8">
        <v>0.26639946437246725</v>
      </c>
      <c r="I108" s="8">
        <v>1.5064743112406149</v>
      </c>
      <c r="J108" s="8">
        <v>4.1140057943414954</v>
      </c>
      <c r="K108" s="8">
        <v>3.6855275484127379</v>
      </c>
      <c r="L108" s="8">
        <v>2.0939486218669562E-2</v>
      </c>
      <c r="M108" s="8">
        <v>0.23841715149665238</v>
      </c>
      <c r="N108" s="8">
        <v>100</v>
      </c>
      <c r="O108" s="8">
        <v>2.1131665507391659</v>
      </c>
    </row>
    <row r="109" spans="2:15" x14ac:dyDescent="0.2">
      <c r="B109" s="23" t="s">
        <v>41</v>
      </c>
      <c r="C109" s="8">
        <v>75.192617073771785</v>
      </c>
      <c r="D109" s="8">
        <v>0.35292423825392727</v>
      </c>
      <c r="E109" s="8">
        <v>13.128028981021384</v>
      </c>
      <c r="F109" s="8">
        <v>1.6811362100286453</v>
      </c>
      <c r="G109" s="8">
        <v>5.3963119605058438E-2</v>
      </c>
      <c r="H109" s="8">
        <v>0.28362835857046143</v>
      </c>
      <c r="I109" s="8">
        <v>1.4947533236592949</v>
      </c>
      <c r="J109" s="8">
        <v>3.8017028215680675</v>
      </c>
      <c r="K109" s="8">
        <v>3.7463572065828656</v>
      </c>
      <c r="L109" s="8">
        <v>4.2834924948029235E-2</v>
      </c>
      <c r="M109" s="8">
        <v>0.28679798620786046</v>
      </c>
      <c r="N109" s="8">
        <v>100</v>
      </c>
      <c r="O109" s="8">
        <v>4.3420758885088446</v>
      </c>
    </row>
    <row r="110" spans="2:15" x14ac:dyDescent="0.2">
      <c r="B110" s="23" t="s">
        <v>42</v>
      </c>
      <c r="C110" s="8">
        <v>75.167131874833117</v>
      </c>
      <c r="D110" s="8">
        <v>0.30558804667096584</v>
      </c>
      <c r="E110" s="8">
        <v>12.946030380439069</v>
      </c>
      <c r="F110" s="8">
        <v>1.7448752654114073</v>
      </c>
      <c r="G110" s="8">
        <v>2.0939087114461519E-2</v>
      </c>
      <c r="H110" s="8">
        <v>0.30657342774377927</v>
      </c>
      <c r="I110" s="8">
        <v>1.476267684081529</v>
      </c>
      <c r="J110" s="8">
        <v>4.1515616558005339</v>
      </c>
      <c r="K110" s="8">
        <v>3.6336404074826301</v>
      </c>
      <c r="L110" s="8">
        <v>5.9857989931062373E-2</v>
      </c>
      <c r="M110" s="8">
        <v>0.24228487254458544</v>
      </c>
      <c r="N110" s="8">
        <v>100</v>
      </c>
      <c r="O110" s="8">
        <v>4.0980158770574207</v>
      </c>
    </row>
    <row r="111" spans="2:15" x14ac:dyDescent="0.2">
      <c r="B111" s="23" t="s">
        <v>43</v>
      </c>
      <c r="C111" s="8">
        <v>75.435913410339012</v>
      </c>
      <c r="D111" s="8">
        <v>0.27339611624053373</v>
      </c>
      <c r="E111" s="8">
        <v>12.974698035882565</v>
      </c>
      <c r="F111" s="8">
        <v>1.7558547080918228</v>
      </c>
      <c r="G111" s="8">
        <v>1.6135737176051712E-2</v>
      </c>
      <c r="H111" s="8">
        <v>0.28023377791620102</v>
      </c>
      <c r="I111" s="8">
        <v>1.4481803680175642</v>
      </c>
      <c r="J111" s="8">
        <v>3.9354870880280881</v>
      </c>
      <c r="K111" s="8">
        <v>3.6815592586784329</v>
      </c>
      <c r="L111" s="8">
        <v>0</v>
      </c>
      <c r="M111" s="8">
        <v>0.25641333460406235</v>
      </c>
      <c r="N111" s="8">
        <v>100</v>
      </c>
      <c r="O111" s="8">
        <v>2.1302849216079096</v>
      </c>
    </row>
    <row r="112" spans="2:15" x14ac:dyDescent="0.2">
      <c r="B112" s="23" t="s">
        <v>44</v>
      </c>
      <c r="C112" s="8">
        <v>75.640533820803341</v>
      </c>
      <c r="D112" s="8">
        <v>0.27134200389962043</v>
      </c>
      <c r="E112" s="8">
        <v>12.981728361011735</v>
      </c>
      <c r="F112" s="8">
        <v>1.6495744675408275</v>
      </c>
      <c r="G112" s="8">
        <v>7.9995566395662868E-2</v>
      </c>
      <c r="H112" s="8">
        <v>0.30717423743932631</v>
      </c>
      <c r="I112" s="8">
        <v>1.4476453390233992</v>
      </c>
      <c r="J112" s="8">
        <v>3.7427881125879079</v>
      </c>
      <c r="K112" s="8">
        <v>3.6484351932466361</v>
      </c>
      <c r="L112" s="8">
        <v>4.3163558930699057E-2</v>
      </c>
      <c r="M112" s="8">
        <v>0.24225299344193246</v>
      </c>
      <c r="N112" s="8">
        <v>100</v>
      </c>
      <c r="O112" s="8">
        <v>4.7784728178012017</v>
      </c>
    </row>
    <row r="113" spans="1:15" x14ac:dyDescent="0.2">
      <c r="B113" s="24" t="s">
        <v>20</v>
      </c>
      <c r="C113" s="18">
        <f t="shared" ref="C113:O113" si="12">AVERAGE(C108:C112)</f>
        <v>75.330749101734256</v>
      </c>
      <c r="D113" s="18">
        <f t="shared" si="12"/>
        <v>0.29227541020112163</v>
      </c>
      <c r="E113" s="18">
        <f t="shared" si="12"/>
        <v>13.018235995987922</v>
      </c>
      <c r="F113" s="18">
        <f t="shared" si="12"/>
        <v>1.6943526805572149</v>
      </c>
      <c r="G113" s="18">
        <f t="shared" si="12"/>
        <v>4.3289231022275963E-2</v>
      </c>
      <c r="H113" s="18">
        <f t="shared" si="12"/>
        <v>0.28880185320844703</v>
      </c>
      <c r="I113" s="18">
        <f t="shared" si="12"/>
        <v>1.4746642052044805</v>
      </c>
      <c r="J113" s="18">
        <f t="shared" si="12"/>
        <v>3.9491090944652187</v>
      </c>
      <c r="K113" s="18">
        <f t="shared" si="12"/>
        <v>3.6791039228806612</v>
      </c>
      <c r="L113" s="18">
        <f t="shared" si="12"/>
        <v>3.3359192005692047E-2</v>
      </c>
      <c r="M113" s="18">
        <f t="shared" si="12"/>
        <v>0.2532332676590186</v>
      </c>
      <c r="N113" s="18">
        <f t="shared" si="12"/>
        <v>100</v>
      </c>
      <c r="O113" s="18">
        <f t="shared" si="12"/>
        <v>3.4924032111429084</v>
      </c>
    </row>
    <row r="114" spans="1:15" x14ac:dyDescent="0.2">
      <c r="B114" s="24" t="s">
        <v>21</v>
      </c>
      <c r="C114" s="18">
        <f t="shared" ref="C114:O114" si="13">STDEV(C108:C112)</f>
        <v>0.20352600977834093</v>
      </c>
      <c r="D114" s="18">
        <f t="shared" si="13"/>
        <v>3.8132269714489624E-2</v>
      </c>
      <c r="E114" s="18">
        <f t="shared" si="13"/>
        <v>7.4664604703093509E-2</v>
      </c>
      <c r="F114" s="18">
        <f t="shared" si="13"/>
        <v>5.3465006397318042E-2</v>
      </c>
      <c r="G114" s="18">
        <f t="shared" si="13"/>
        <v>2.5993446293898513E-2</v>
      </c>
      <c r="H114" s="18">
        <f t="shared" si="13"/>
        <v>1.7715934567030502E-2</v>
      </c>
      <c r="I114" s="18">
        <f t="shared" si="13"/>
        <v>2.6690070404014905E-2</v>
      </c>
      <c r="J114" s="18">
        <f t="shared" si="13"/>
        <v>0.1821129300275908</v>
      </c>
      <c r="K114" s="18">
        <f t="shared" si="13"/>
        <v>4.3525274316474176E-2</v>
      </c>
      <c r="L114" s="18">
        <f t="shared" si="13"/>
        <v>2.3211991514048853E-2</v>
      </c>
      <c r="M114" s="18">
        <f t="shared" si="13"/>
        <v>1.9979078010751699E-2</v>
      </c>
      <c r="N114" s="18">
        <f t="shared" si="13"/>
        <v>0</v>
      </c>
      <c r="O114" s="18">
        <f t="shared" si="13"/>
        <v>1.2747887465219392</v>
      </c>
    </row>
    <row r="115" spans="1:15" x14ac:dyDescent="0.2">
      <c r="B115" s="23"/>
    </row>
    <row r="116" spans="1:15" x14ac:dyDescent="0.2">
      <c r="A116" s="1" t="s">
        <v>73</v>
      </c>
      <c r="B116" s="23" t="s">
        <v>361</v>
      </c>
      <c r="C116" s="8">
        <v>69.999142559689716</v>
      </c>
      <c r="D116" s="8">
        <v>0.69670238778998317</v>
      </c>
      <c r="E116" s="8">
        <v>14.68142413602286</v>
      </c>
      <c r="F116" s="8">
        <v>3.4469910085568309</v>
      </c>
      <c r="G116" s="8">
        <v>5.9572775721957932E-2</v>
      </c>
      <c r="H116" s="8">
        <v>0.90409209893006004</v>
      </c>
      <c r="I116" s="8">
        <v>3.1633935136163167</v>
      </c>
      <c r="J116" s="8">
        <v>4.3030246187263765</v>
      </c>
      <c r="K116" s="8">
        <v>2.4806998021996307</v>
      </c>
      <c r="L116" s="8">
        <v>0.14490396246891002</v>
      </c>
      <c r="M116" s="8">
        <v>0.15511100349413354</v>
      </c>
      <c r="N116" s="8">
        <v>100</v>
      </c>
      <c r="O116" s="8">
        <v>1.166263806811088</v>
      </c>
    </row>
    <row r="117" spans="1:15" x14ac:dyDescent="0.2">
      <c r="A117" s="5" t="s">
        <v>80</v>
      </c>
      <c r="B117" s="23" t="s">
        <v>362</v>
      </c>
      <c r="C117" s="8">
        <v>76.379475770116855</v>
      </c>
      <c r="D117" s="8">
        <v>0.27638010034843702</v>
      </c>
      <c r="E117" s="8">
        <v>12.823260973934078</v>
      </c>
      <c r="F117" s="8">
        <v>1.3919926092314725</v>
      </c>
      <c r="G117" s="8">
        <v>5.0192259549809021E-2</v>
      </c>
      <c r="H117" s="8">
        <v>0.25810657322419206</v>
      </c>
      <c r="I117" s="8">
        <v>1.3762022369693221</v>
      </c>
      <c r="J117" s="8">
        <v>4.1660071846071469</v>
      </c>
      <c r="K117" s="8">
        <v>3.0338501578789852</v>
      </c>
      <c r="L117" s="8">
        <v>3.9216102456279524E-2</v>
      </c>
      <c r="M117" s="8">
        <v>0.26508496717309021</v>
      </c>
      <c r="N117" s="8">
        <v>100</v>
      </c>
      <c r="O117" s="8">
        <v>5.3220547824872426</v>
      </c>
    </row>
    <row r="118" spans="1:15" x14ac:dyDescent="0.2">
      <c r="B118" s="23" t="s">
        <v>363</v>
      </c>
      <c r="C118" s="8">
        <v>76.659455059406937</v>
      </c>
      <c r="D118" s="8">
        <v>0.31668515244578921</v>
      </c>
      <c r="E118" s="8">
        <v>12.302455783278631</v>
      </c>
      <c r="F118" s="8">
        <v>1.7679498882538793</v>
      </c>
      <c r="G118" s="8">
        <v>2.4816418018011741E-2</v>
      </c>
      <c r="H118" s="8">
        <v>0.2666303203647965</v>
      </c>
      <c r="I118" s="8">
        <v>1.3425982120836559</v>
      </c>
      <c r="J118" s="8">
        <v>4.1175018436899755</v>
      </c>
      <c r="K118" s="8">
        <v>2.9944784713420001</v>
      </c>
      <c r="L118" s="8">
        <v>2.9279407515289079E-2</v>
      </c>
      <c r="M118" s="8">
        <v>0.22999089508206755</v>
      </c>
      <c r="N118" s="8">
        <v>100</v>
      </c>
      <c r="O118" s="8">
        <v>1.6578460989540531</v>
      </c>
    </row>
    <row r="119" spans="1:15" x14ac:dyDescent="0.2">
      <c r="B119" s="23" t="s">
        <v>364</v>
      </c>
      <c r="C119" s="8">
        <v>77.866483186185519</v>
      </c>
      <c r="D119" s="8">
        <v>0.19586099431742532</v>
      </c>
      <c r="E119" s="8">
        <v>12.091295501456448</v>
      </c>
      <c r="F119" s="8">
        <v>1.2326153524288836</v>
      </c>
      <c r="G119" s="8">
        <v>6.3898250466193351E-2</v>
      </c>
      <c r="H119" s="8">
        <v>9.9798440227050395E-2</v>
      </c>
      <c r="I119" s="8">
        <v>0.72199594908591225</v>
      </c>
      <c r="J119" s="8">
        <v>4.3693323932853332</v>
      </c>
      <c r="K119" s="8">
        <v>3.1509008586971157</v>
      </c>
      <c r="L119" s="8">
        <v>0</v>
      </c>
      <c r="M119" s="8">
        <v>0.26838368120217826</v>
      </c>
      <c r="N119" s="8">
        <v>100</v>
      </c>
      <c r="O119" s="8">
        <v>7.5185946894354174</v>
      </c>
    </row>
    <row r="120" spans="1:15" x14ac:dyDescent="0.2">
      <c r="B120" s="23" t="s">
        <v>365</v>
      </c>
      <c r="C120" s="8">
        <v>77.989093058303141</v>
      </c>
      <c r="D120" s="8">
        <v>0.17475209776253067</v>
      </c>
      <c r="E120" s="8">
        <v>12.130224175836245</v>
      </c>
      <c r="F120" s="8">
        <v>1.1808530586584254</v>
      </c>
      <c r="G120" s="8">
        <v>4.7632505120935774E-2</v>
      </c>
      <c r="H120" s="8">
        <v>0.10363966977634061</v>
      </c>
      <c r="I120" s="8">
        <v>0.7269142322592459</v>
      </c>
      <c r="J120" s="8">
        <v>4.337961361877734</v>
      </c>
      <c r="K120" s="8">
        <v>3.13230512305819</v>
      </c>
      <c r="L120" s="8">
        <v>8.2864419094950039E-3</v>
      </c>
      <c r="M120" s="8">
        <v>0.21782134573708109</v>
      </c>
      <c r="N120" s="8">
        <v>100</v>
      </c>
      <c r="O120" s="8">
        <v>0.2466910372180422</v>
      </c>
    </row>
    <row r="121" spans="1:15" x14ac:dyDescent="0.2">
      <c r="B121" s="23" t="s">
        <v>366</v>
      </c>
      <c r="C121" s="8">
        <v>78.024555691098982</v>
      </c>
      <c r="D121" s="8">
        <v>0.14125386202519641</v>
      </c>
      <c r="E121" s="8">
        <v>12.243512261902419</v>
      </c>
      <c r="F121" s="8">
        <v>1.2139117532920438</v>
      </c>
      <c r="G121" s="8">
        <v>3.5429602078570314E-2</v>
      </c>
      <c r="H121" s="8">
        <v>0.12142809291509193</v>
      </c>
      <c r="I121" s="8">
        <v>0.68776437019985381</v>
      </c>
      <c r="J121" s="8">
        <v>4.0707278627742847</v>
      </c>
      <c r="K121" s="8">
        <v>3.2380774149559208</v>
      </c>
      <c r="L121" s="8">
        <v>1.6949273876367195E-2</v>
      </c>
      <c r="M121" s="8">
        <v>0.26656753085495166</v>
      </c>
      <c r="N121" s="8">
        <v>100</v>
      </c>
      <c r="O121" s="8">
        <v>2.4854980776172653</v>
      </c>
    </row>
    <row r="122" spans="1:15" x14ac:dyDescent="0.2">
      <c r="B122" s="23" t="s">
        <v>367</v>
      </c>
      <c r="C122" s="8">
        <v>78.045954270381685</v>
      </c>
      <c r="D122" s="8">
        <v>0.1145398959259176</v>
      </c>
      <c r="E122" s="8">
        <v>12.111395444111631</v>
      </c>
      <c r="F122" s="8">
        <v>1.1043684343348859</v>
      </c>
      <c r="G122" s="8">
        <v>5.8799545544297872E-2</v>
      </c>
      <c r="H122" s="8">
        <v>0.12086828098753234</v>
      </c>
      <c r="I122" s="8">
        <v>0.72016879286306712</v>
      </c>
      <c r="J122" s="8">
        <v>4.3139340996610285</v>
      </c>
      <c r="K122" s="8">
        <v>3.2198342546029215</v>
      </c>
      <c r="L122" s="8">
        <v>3.3755124765665216E-2</v>
      </c>
      <c r="M122" s="8">
        <v>0.20206794466068378</v>
      </c>
      <c r="N122" s="8">
        <v>100</v>
      </c>
      <c r="O122" s="8">
        <v>1.9023030432355768</v>
      </c>
    </row>
    <row r="123" spans="1:15" x14ac:dyDescent="0.2">
      <c r="B123" s="23" t="s">
        <v>368</v>
      </c>
      <c r="C123" s="8">
        <v>78.096895021083554</v>
      </c>
      <c r="D123" s="8">
        <v>0.13375600473582783</v>
      </c>
      <c r="E123" s="8">
        <v>12.11721498089539</v>
      </c>
      <c r="F123" s="8">
        <v>1.2300887044315756</v>
      </c>
      <c r="G123" s="8">
        <v>5.8156099553901804E-3</v>
      </c>
      <c r="H123" s="8">
        <v>8.2504240869994555E-2</v>
      </c>
      <c r="I123" s="8">
        <v>0.75365325109709114</v>
      </c>
      <c r="J123" s="8">
        <v>4.1216837656623442</v>
      </c>
      <c r="K123" s="8">
        <v>3.2484044778960128</v>
      </c>
      <c r="L123" s="8">
        <v>4.5898862346831396E-2</v>
      </c>
      <c r="M123" s="8">
        <v>0.21188518108746679</v>
      </c>
      <c r="N123" s="8">
        <v>100</v>
      </c>
      <c r="O123" s="8">
        <v>0.80146288605514826</v>
      </c>
    </row>
    <row r="124" spans="1:15" x14ac:dyDescent="0.2">
      <c r="B124" s="23" t="s">
        <v>369</v>
      </c>
      <c r="C124" s="8">
        <v>78.114495059978012</v>
      </c>
      <c r="D124" s="8">
        <v>0.10246660390336644</v>
      </c>
      <c r="E124" s="8">
        <v>12.164583943079734</v>
      </c>
      <c r="F124" s="8">
        <v>1.152592659552141</v>
      </c>
      <c r="G124" s="8">
        <v>0</v>
      </c>
      <c r="H124" s="8">
        <v>0.12788245476430349</v>
      </c>
      <c r="I124" s="8">
        <v>0.72135207313988381</v>
      </c>
      <c r="J124" s="8">
        <v>4.0569634673104895</v>
      </c>
      <c r="K124" s="8">
        <v>3.3965801503210136</v>
      </c>
      <c r="L124" s="8">
        <v>1.6984300256070121E-2</v>
      </c>
      <c r="M124" s="8">
        <v>0.18886714439324417</v>
      </c>
      <c r="N124" s="8">
        <v>100</v>
      </c>
      <c r="O124" s="8">
        <v>2.6394979440492392</v>
      </c>
    </row>
    <row r="125" spans="1:15" x14ac:dyDescent="0.2">
      <c r="B125" s="23" t="s">
        <v>370</v>
      </c>
      <c r="C125" s="8">
        <v>78.122962372429669</v>
      </c>
      <c r="D125" s="8">
        <v>0.13118996036368852</v>
      </c>
      <c r="E125" s="8">
        <v>11.994391827843028</v>
      </c>
      <c r="F125" s="8">
        <v>1.1081601942553894</v>
      </c>
      <c r="G125" s="8">
        <v>0.11837864289167641</v>
      </c>
      <c r="H125" s="8">
        <v>8.8318863072952614E-2</v>
      </c>
      <c r="I125" s="8">
        <v>0.7852884157266381</v>
      </c>
      <c r="J125" s="8">
        <v>4.3496598783589082</v>
      </c>
      <c r="K125" s="8">
        <v>3.1193272172482445</v>
      </c>
      <c r="L125" s="8">
        <v>1.6778778287044129E-2</v>
      </c>
      <c r="M125" s="8">
        <v>0.21391319217718918</v>
      </c>
      <c r="N125" s="8">
        <v>100</v>
      </c>
      <c r="O125" s="8">
        <v>1.4230969797634572</v>
      </c>
    </row>
    <row r="126" spans="1:15" x14ac:dyDescent="0.2">
      <c r="B126" s="23" t="s">
        <v>371</v>
      </c>
      <c r="C126" s="8">
        <v>78.142921469214457</v>
      </c>
      <c r="D126" s="8">
        <v>0.15079954205044349</v>
      </c>
      <c r="E126" s="8">
        <v>12.114247015624006</v>
      </c>
      <c r="F126" s="8">
        <v>1.2502765847264306</v>
      </c>
      <c r="G126" s="8">
        <v>4.3579836771692245E-3</v>
      </c>
      <c r="H126" s="8">
        <v>0.11094158261766145</v>
      </c>
      <c r="I126" s="8">
        <v>0.67486648500977564</v>
      </c>
      <c r="J126" s="8">
        <v>4.2211452075095091</v>
      </c>
      <c r="K126" s="8">
        <v>3.1682440699616761</v>
      </c>
      <c r="L126" s="8">
        <v>4.1704784807885921E-3</v>
      </c>
      <c r="M126" s="8">
        <v>0.20403892071309931</v>
      </c>
      <c r="N126" s="8">
        <v>100</v>
      </c>
      <c r="O126" s="8">
        <v>0.80274915558997861</v>
      </c>
    </row>
    <row r="127" spans="1:15" x14ac:dyDescent="0.2">
      <c r="B127" s="23" t="s">
        <v>372</v>
      </c>
      <c r="C127" s="8">
        <v>78.174277175879396</v>
      </c>
      <c r="D127" s="8">
        <v>0.18107266629839827</v>
      </c>
      <c r="E127" s="8">
        <v>12.099675973995673</v>
      </c>
      <c r="F127" s="8">
        <v>1.1977672941308428</v>
      </c>
      <c r="G127" s="8">
        <v>5.9415476918688273E-2</v>
      </c>
      <c r="H127" s="8">
        <v>6.9650623900574415E-2</v>
      </c>
      <c r="I127" s="8">
        <v>0.72399826123095423</v>
      </c>
      <c r="J127" s="8">
        <v>4.0871822581848116</v>
      </c>
      <c r="K127" s="8">
        <v>3.2545421832113481</v>
      </c>
      <c r="L127" s="8">
        <v>0</v>
      </c>
      <c r="M127" s="8">
        <v>0.19687357146568601</v>
      </c>
      <c r="N127" s="8">
        <v>100</v>
      </c>
      <c r="O127" s="8">
        <v>0.8221375035948455</v>
      </c>
    </row>
    <row r="128" spans="1:15" x14ac:dyDescent="0.2">
      <c r="B128" s="23" t="s">
        <v>373</v>
      </c>
      <c r="C128" s="8">
        <v>78.174563751902298</v>
      </c>
      <c r="D128" s="8">
        <v>0.13448352295185886</v>
      </c>
      <c r="E128" s="8">
        <v>12.124087375550699</v>
      </c>
      <c r="F128" s="8">
        <v>1.1683895037059757</v>
      </c>
      <c r="G128" s="8">
        <v>7.3869744789954062E-2</v>
      </c>
      <c r="H128" s="8">
        <v>0.10582236110336093</v>
      </c>
      <c r="I128" s="8">
        <v>0.74589398310526278</v>
      </c>
      <c r="J128" s="8">
        <v>4.0782278412362247</v>
      </c>
      <c r="K128" s="8">
        <v>3.1881003546847801</v>
      </c>
      <c r="L128" s="8">
        <v>3.8166734826988562E-2</v>
      </c>
      <c r="M128" s="8">
        <v>0.21759044325070936</v>
      </c>
      <c r="N128" s="8">
        <v>100</v>
      </c>
      <c r="O128" s="8">
        <v>2.3835804427924785</v>
      </c>
    </row>
    <row r="129" spans="2:15" x14ac:dyDescent="0.2">
      <c r="B129" s="23" t="s">
        <v>374</v>
      </c>
      <c r="C129" s="8">
        <v>78.203405553176665</v>
      </c>
      <c r="D129" s="8">
        <v>0.13461525562148835</v>
      </c>
      <c r="E129" s="8">
        <v>12.171178334209896</v>
      </c>
      <c r="F129" s="8">
        <v>1.1118990209266786</v>
      </c>
      <c r="G129" s="8">
        <v>4.6302115717265932E-2</v>
      </c>
      <c r="H129" s="8">
        <v>9.737345303214065E-2</v>
      </c>
      <c r="I129" s="8">
        <v>0.69894361804314253</v>
      </c>
      <c r="J129" s="8">
        <v>4.2202779508683896</v>
      </c>
      <c r="K129" s="8">
        <v>3.1640670420920016</v>
      </c>
      <c r="L129" s="8">
        <v>1.6616781370478183E-2</v>
      </c>
      <c r="M129" s="8">
        <v>0.17473187815232416</v>
      </c>
      <c r="N129" s="8">
        <v>100</v>
      </c>
      <c r="O129" s="8">
        <v>0.6546476604154492</v>
      </c>
    </row>
    <row r="130" spans="2:15" x14ac:dyDescent="0.2">
      <c r="B130" s="23" t="s">
        <v>375</v>
      </c>
      <c r="C130" s="8">
        <v>78.204875859634541</v>
      </c>
      <c r="D130" s="8">
        <v>0.11127364360121411</v>
      </c>
      <c r="E130" s="8">
        <v>12.079149771102699</v>
      </c>
      <c r="F130" s="8">
        <v>1.1403071219424632</v>
      </c>
      <c r="G130" s="8">
        <v>3.1812098473040611E-2</v>
      </c>
      <c r="H130" s="8">
        <v>9.5681011583799852E-2</v>
      </c>
      <c r="I130" s="8">
        <v>0.73882518041065348</v>
      </c>
      <c r="J130" s="8">
        <v>4.1912356996085167</v>
      </c>
      <c r="K130" s="8">
        <v>3.23865842946811</v>
      </c>
      <c r="L130" s="8">
        <v>0</v>
      </c>
      <c r="M130" s="8">
        <v>0.21707226448530823</v>
      </c>
      <c r="N130" s="8">
        <v>100</v>
      </c>
      <c r="O130" s="8">
        <v>0.29265115320673374</v>
      </c>
    </row>
    <row r="131" spans="2:15" x14ac:dyDescent="0.2">
      <c r="B131" s="23" t="s">
        <v>376</v>
      </c>
      <c r="C131" s="8">
        <v>78.216704335032986</v>
      </c>
      <c r="D131" s="8">
        <v>0.15182484534223434</v>
      </c>
      <c r="E131" s="8">
        <v>12.132078161364522</v>
      </c>
      <c r="F131" s="8">
        <v>1.1557959911965752</v>
      </c>
      <c r="G131" s="8">
        <v>2.8967974873105061E-2</v>
      </c>
      <c r="H131" s="8">
        <v>7.2110501960562109E-2</v>
      </c>
      <c r="I131" s="8">
        <v>0.71633346800334985</v>
      </c>
      <c r="J131" s="8">
        <v>4.221653966519118</v>
      </c>
      <c r="K131" s="8">
        <v>3.0756182386092439</v>
      </c>
      <c r="L131" s="8">
        <v>2.9108077465567189E-2</v>
      </c>
      <c r="M131" s="8">
        <v>0.25805184046580482</v>
      </c>
      <c r="N131" s="8">
        <v>100</v>
      </c>
      <c r="O131" s="8">
        <v>0.78698933599504528</v>
      </c>
    </row>
    <row r="132" spans="2:15" x14ac:dyDescent="0.2">
      <c r="B132" s="23" t="s">
        <v>377</v>
      </c>
      <c r="C132" s="8">
        <v>78.239919401393635</v>
      </c>
      <c r="D132" s="8">
        <v>0.15008736767831649</v>
      </c>
      <c r="E132" s="8">
        <v>12.098266955357399</v>
      </c>
      <c r="F132" s="8">
        <v>1.1454674370492204</v>
      </c>
      <c r="G132" s="8">
        <v>1.4525562187078448E-3</v>
      </c>
      <c r="H132" s="8">
        <v>0.10269077161777916</v>
      </c>
      <c r="I132" s="8">
        <v>0.7306175831513565</v>
      </c>
      <c r="J132" s="8">
        <v>4.1568277409564773</v>
      </c>
      <c r="K132" s="8">
        <v>3.1856569403836743</v>
      </c>
      <c r="L132" s="8">
        <v>1.2505932872549377E-2</v>
      </c>
      <c r="M132" s="8">
        <v>0.22797551442592562</v>
      </c>
      <c r="N132" s="8">
        <v>100</v>
      </c>
      <c r="O132" s="8">
        <v>1.070954673388357</v>
      </c>
    </row>
    <row r="133" spans="2:15" x14ac:dyDescent="0.2">
      <c r="B133" s="23" t="s">
        <v>378</v>
      </c>
      <c r="C133" s="8">
        <v>78.253410784002781</v>
      </c>
      <c r="D133" s="8">
        <v>0.13080704367977181</v>
      </c>
      <c r="E133" s="8">
        <v>12.019537903033312</v>
      </c>
      <c r="F133" s="8">
        <v>1.0910740793003237</v>
      </c>
      <c r="G133" s="8">
        <v>0</v>
      </c>
      <c r="H133" s="8">
        <v>8.4651639503740106E-2</v>
      </c>
      <c r="I133" s="8">
        <v>0.72527173202863615</v>
      </c>
      <c r="J133" s="8">
        <v>4.2731334778851364</v>
      </c>
      <c r="K133" s="8">
        <v>3.2396466832804309</v>
      </c>
      <c r="L133" s="8">
        <v>0</v>
      </c>
      <c r="M133" s="8">
        <v>0.23565186132122246</v>
      </c>
      <c r="N133" s="8">
        <v>100</v>
      </c>
      <c r="O133" s="8">
        <v>0.69418561434258663</v>
      </c>
    </row>
    <row r="134" spans="2:15" x14ac:dyDescent="0.2">
      <c r="B134" s="23" t="s">
        <v>379</v>
      </c>
      <c r="C134" s="8">
        <v>78.254480556163202</v>
      </c>
      <c r="D134" s="8">
        <v>0.17613097899395116</v>
      </c>
      <c r="E134" s="8">
        <v>12.123647753662109</v>
      </c>
      <c r="F134" s="8">
        <v>1.1214104232577491</v>
      </c>
      <c r="G134" s="8">
        <v>3.6731134311558084E-2</v>
      </c>
      <c r="H134" s="8">
        <v>0.10559831857627723</v>
      </c>
      <c r="I134" s="8">
        <v>0.76464811441739777</v>
      </c>
      <c r="J134" s="8">
        <v>4.0499694296556008</v>
      </c>
      <c r="K134" s="8">
        <v>3.2241003911757447</v>
      </c>
      <c r="L134" s="8">
        <v>1.2652525563212039E-2</v>
      </c>
      <c r="M134" s="8">
        <v>0.16867860985938396</v>
      </c>
      <c r="N134" s="8">
        <v>100</v>
      </c>
      <c r="O134" s="8">
        <v>1.8298762729649383</v>
      </c>
    </row>
    <row r="135" spans="2:15" x14ac:dyDescent="0.2">
      <c r="B135" s="23" t="s">
        <v>380</v>
      </c>
      <c r="C135" s="8">
        <v>78.264708638643896</v>
      </c>
      <c r="D135" s="8">
        <v>0.11772100333564425</v>
      </c>
      <c r="E135" s="8">
        <v>12.122060421657839</v>
      </c>
      <c r="F135" s="8">
        <v>1.1417901974507942</v>
      </c>
      <c r="G135" s="8">
        <v>5.8261089060188079E-2</v>
      </c>
      <c r="H135" s="8">
        <v>6.6840560424000661E-2</v>
      </c>
      <c r="I135" s="8">
        <v>0.72232852023585326</v>
      </c>
      <c r="J135" s="8">
        <v>4.1635966651482814</v>
      </c>
      <c r="K135" s="8">
        <v>3.1681931973726041</v>
      </c>
      <c r="L135" s="8">
        <v>0</v>
      </c>
      <c r="M135" s="8">
        <v>0.2252297918745603</v>
      </c>
      <c r="N135" s="8">
        <v>100</v>
      </c>
      <c r="O135" s="8">
        <v>0.90298528344465012</v>
      </c>
    </row>
    <row r="136" spans="2:15" x14ac:dyDescent="0.2">
      <c r="B136" s="23" t="s">
        <v>381</v>
      </c>
      <c r="C136" s="8">
        <v>78.324992428424409</v>
      </c>
      <c r="D136" s="8">
        <v>0.10084275568831712</v>
      </c>
      <c r="E136" s="8">
        <v>11.898694056226082</v>
      </c>
      <c r="F136" s="8">
        <v>1.1353882613514827</v>
      </c>
      <c r="G136" s="8">
        <v>5.3881871929830086E-2</v>
      </c>
      <c r="H136" s="8">
        <v>8.4053007288449347E-2</v>
      </c>
      <c r="I136" s="8">
        <v>0.74706079647657164</v>
      </c>
      <c r="J136" s="8">
        <v>4.3195388395058352</v>
      </c>
      <c r="K136" s="8">
        <v>3.14198402915506</v>
      </c>
      <c r="L136" s="8">
        <v>3.3444862979816199E-2</v>
      </c>
      <c r="M136" s="8">
        <v>0.20672567520654753</v>
      </c>
      <c r="N136" s="8">
        <v>100</v>
      </c>
      <c r="O136" s="8">
        <v>1.2135286069526785</v>
      </c>
    </row>
    <row r="137" spans="2:15" x14ac:dyDescent="0.2">
      <c r="B137" s="23" t="s">
        <v>382</v>
      </c>
      <c r="C137" s="8">
        <v>78.35064816267429</v>
      </c>
      <c r="D137" s="8">
        <v>0.1883330474630297</v>
      </c>
      <c r="E137" s="8">
        <v>11.925699522326008</v>
      </c>
      <c r="F137" s="8">
        <v>1.1573177292378662</v>
      </c>
      <c r="G137" s="8">
        <v>1.3349157138116885E-2</v>
      </c>
      <c r="H137" s="8">
        <v>9.7612048035594715E-2</v>
      </c>
      <c r="I137" s="8">
        <v>0.75873108631426445</v>
      </c>
      <c r="J137" s="8">
        <v>4.0581807909918455</v>
      </c>
      <c r="K137" s="8">
        <v>3.2778738362008277</v>
      </c>
      <c r="L137" s="8">
        <v>0</v>
      </c>
      <c r="M137" s="8">
        <v>0.22260729892719253</v>
      </c>
      <c r="N137" s="8">
        <v>100</v>
      </c>
      <c r="O137" s="8">
        <v>2.757905494015489</v>
      </c>
    </row>
    <row r="138" spans="2:15" x14ac:dyDescent="0.2">
      <c r="B138" s="23" t="s">
        <v>383</v>
      </c>
      <c r="C138" s="8">
        <v>78.374885532390593</v>
      </c>
      <c r="D138" s="8">
        <v>0.14196733187378041</v>
      </c>
      <c r="E138" s="8">
        <v>12.236044195219611</v>
      </c>
      <c r="F138" s="8">
        <v>1.1912131249031142</v>
      </c>
      <c r="G138" s="8">
        <v>5.0332089219443175E-2</v>
      </c>
      <c r="H138" s="8">
        <v>0.11609432249272068</v>
      </c>
      <c r="I138" s="8">
        <v>0.71126960141073681</v>
      </c>
      <c r="J138" s="8">
        <v>3.8123062786185531</v>
      </c>
      <c r="K138" s="8">
        <v>3.1673600083170634</v>
      </c>
      <c r="L138" s="8">
        <v>4.5417858515916558E-2</v>
      </c>
      <c r="M138" s="8">
        <v>0.19759790441132041</v>
      </c>
      <c r="N138" s="8">
        <v>100</v>
      </c>
      <c r="O138" s="8">
        <v>6.5741796051639767E-2</v>
      </c>
    </row>
    <row r="139" spans="2:15" x14ac:dyDescent="0.2">
      <c r="B139" s="23" t="s">
        <v>384</v>
      </c>
      <c r="C139" s="8">
        <v>78.477608688414037</v>
      </c>
      <c r="D139" s="8">
        <v>0.12344893113900547</v>
      </c>
      <c r="E139" s="8">
        <v>12.102091523487289</v>
      </c>
      <c r="F139" s="8">
        <v>1.1015011720714025</v>
      </c>
      <c r="G139" s="8">
        <v>6.7927161827907631E-2</v>
      </c>
      <c r="H139" s="8">
        <v>9.7124656059183995E-2</v>
      </c>
      <c r="I139" s="8">
        <v>0.71672898946236663</v>
      </c>
      <c r="J139" s="8">
        <v>3.8636607053285794</v>
      </c>
      <c r="K139" s="8">
        <v>3.2440041827573456</v>
      </c>
      <c r="L139" s="8">
        <v>5.8084451660244382E-2</v>
      </c>
      <c r="M139" s="8">
        <v>0.19096003395022815</v>
      </c>
      <c r="N139" s="8">
        <v>100</v>
      </c>
      <c r="O139" s="8">
        <v>0.49488572591815227</v>
      </c>
    </row>
    <row r="140" spans="2:15" x14ac:dyDescent="0.2">
      <c r="B140" s="23" t="s">
        <v>385</v>
      </c>
      <c r="C140" s="8">
        <v>78.585551087350467</v>
      </c>
      <c r="D140" s="8">
        <v>0.20668217203414951</v>
      </c>
      <c r="E140" s="8">
        <v>11.899208282070916</v>
      </c>
      <c r="F140" s="8">
        <v>1.0493307121597752</v>
      </c>
      <c r="G140" s="8">
        <v>3.6221942805142966E-2</v>
      </c>
      <c r="H140" s="8">
        <v>7.6872444057328598E-2</v>
      </c>
      <c r="I140" s="8">
        <v>0.70307644876906905</v>
      </c>
      <c r="J140" s="8">
        <v>4.0562594669096317</v>
      </c>
      <c r="K140" s="8">
        <v>3.20338685304392</v>
      </c>
      <c r="L140" s="8">
        <v>2.0794488515206478E-2</v>
      </c>
      <c r="M140" s="8">
        <v>0.20991749679321001</v>
      </c>
      <c r="N140" s="8">
        <v>100</v>
      </c>
      <c r="O140" s="8">
        <v>0.69003147204871595</v>
      </c>
    </row>
    <row r="141" spans="2:15" x14ac:dyDescent="0.2">
      <c r="B141" s="23" t="s">
        <v>386</v>
      </c>
      <c r="C141" s="8">
        <v>78.685241285766779</v>
      </c>
      <c r="D141" s="8">
        <v>0.15857218381663923</v>
      </c>
      <c r="E141" s="8">
        <v>12.270634087396893</v>
      </c>
      <c r="F141" s="8">
        <v>1.0701001895632227</v>
      </c>
      <c r="G141" s="8">
        <v>2.139605934062342E-2</v>
      </c>
      <c r="H141" s="8">
        <v>0.1042825068538618</v>
      </c>
      <c r="I141" s="8">
        <v>0.70121631429216968</v>
      </c>
      <c r="J141" s="8">
        <v>3.5118823645447232</v>
      </c>
      <c r="K141" s="8">
        <v>3.3254838508210627</v>
      </c>
      <c r="L141" s="8">
        <v>0</v>
      </c>
      <c r="M141" s="8">
        <v>0.19493438838783581</v>
      </c>
      <c r="N141" s="8">
        <v>100</v>
      </c>
      <c r="O141" s="8">
        <v>-0.93447422347050235</v>
      </c>
    </row>
    <row r="142" spans="2:15" x14ac:dyDescent="0.2">
      <c r="B142" s="24" t="s">
        <v>20</v>
      </c>
      <c r="C142" s="18">
        <f t="shared" ref="C142:O142" si="14">AVERAGE(C116:C141)</f>
        <v>77.777950259951481</v>
      </c>
      <c r="D142" s="18">
        <f t="shared" si="14"/>
        <v>0.17854805196870788</v>
      </c>
      <c r="E142" s="18">
        <f t="shared" si="14"/>
        <v>12.233694629255591</v>
      </c>
      <c r="F142" s="18">
        <f t="shared" si="14"/>
        <v>1.2714827886911324</v>
      </c>
      <c r="G142" s="18">
        <f t="shared" si="14"/>
        <v>4.0339002524907075E-2</v>
      </c>
      <c r="H142" s="18">
        <f t="shared" si="14"/>
        <v>0.14079495554766736</v>
      </c>
      <c r="I142" s="18">
        <f t="shared" si="14"/>
        <v>0.86842850882317479</v>
      </c>
      <c r="J142" s="18">
        <f t="shared" si="14"/>
        <v>4.1343028907471098</v>
      </c>
      <c r="K142" s="18">
        <f t="shared" si="14"/>
        <v>3.1646683930282666</v>
      </c>
      <c r="L142" s="18">
        <f t="shared" si="14"/>
        <v>2.3962094082027659E-2</v>
      </c>
      <c r="M142" s="18">
        <f t="shared" si="14"/>
        <v>0.21416655305970939</v>
      </c>
      <c r="N142" s="18">
        <f t="shared" si="14"/>
        <v>100</v>
      </c>
      <c r="O142" s="18">
        <f t="shared" si="14"/>
        <v>1.5266032812645294</v>
      </c>
    </row>
    <row r="143" spans="2:15" x14ac:dyDescent="0.2">
      <c r="B143" s="24" t="s">
        <v>21</v>
      </c>
      <c r="C143" s="18">
        <f t="shared" ref="C143:O143" si="15">STDEV(C116:C141)</f>
        <v>1.6624203776631985</v>
      </c>
      <c r="D143" s="18">
        <f t="shared" si="15"/>
        <v>0.11685170250038804</v>
      </c>
      <c r="E143" s="18">
        <f t="shared" si="15"/>
        <v>0.52817182904519033</v>
      </c>
      <c r="F143" s="18">
        <f t="shared" si="15"/>
        <v>0.46451971521139646</v>
      </c>
      <c r="G143" s="18">
        <f t="shared" si="15"/>
        <v>2.7736643277172259E-2</v>
      </c>
      <c r="H143" s="18">
        <f t="shared" si="15"/>
        <v>0.16279038596269099</v>
      </c>
      <c r="I143" s="18">
        <f t="shared" si="15"/>
        <v>0.49922803418386424</v>
      </c>
      <c r="J143" s="18">
        <f t="shared" si="15"/>
        <v>0.18812269635012069</v>
      </c>
      <c r="K143" s="18">
        <f t="shared" si="15"/>
        <v>0.16310165623622441</v>
      </c>
      <c r="L143" s="18">
        <f t="shared" si="15"/>
        <v>3.002478625418175E-2</v>
      </c>
      <c r="M143" s="18">
        <f t="shared" si="15"/>
        <v>2.8910433738187181E-2</v>
      </c>
      <c r="N143" s="18">
        <f t="shared" si="15"/>
        <v>0</v>
      </c>
      <c r="O143" s="18">
        <f t="shared" si="15"/>
        <v>1.7025372330733779</v>
      </c>
    </row>
    <row r="144" spans="2:15" x14ac:dyDescent="0.2">
      <c r="B144" s="23"/>
    </row>
    <row r="145" spans="2:15" x14ac:dyDescent="0.2">
      <c r="B145" s="23" t="s">
        <v>254</v>
      </c>
      <c r="C145" s="8">
        <v>68.736859901040532</v>
      </c>
      <c r="D145" s="8">
        <v>0.73434268718336881</v>
      </c>
      <c r="E145" s="8">
        <v>14.801114753202874</v>
      </c>
      <c r="F145" s="8">
        <v>3.6856130417874735</v>
      </c>
      <c r="G145" s="8">
        <v>0.12033893726573038</v>
      </c>
      <c r="H145" s="8">
        <v>1.076125831161608</v>
      </c>
      <c r="I145" s="8">
        <v>3.4096368208028265</v>
      </c>
      <c r="J145" s="8">
        <v>4.6498364622342692</v>
      </c>
      <c r="K145" s="8">
        <v>2.5136750994998387</v>
      </c>
      <c r="L145" s="8">
        <v>0.17324009132766682</v>
      </c>
      <c r="M145" s="8">
        <v>0.12814549618291843</v>
      </c>
      <c r="N145" s="8">
        <v>100</v>
      </c>
      <c r="O145" s="8">
        <v>0.78855380252772989</v>
      </c>
    </row>
    <row r="146" spans="2:15" x14ac:dyDescent="0.2">
      <c r="B146" s="23" t="s">
        <v>262</v>
      </c>
      <c r="C146" s="8">
        <v>70.316376539692257</v>
      </c>
      <c r="D146" s="8">
        <v>0.68516769126400012</v>
      </c>
      <c r="E146" s="8">
        <v>14.556703462055797</v>
      </c>
      <c r="F146" s="8">
        <v>3.3521736950369316</v>
      </c>
      <c r="G146" s="8">
        <v>6.2183468656956155E-2</v>
      </c>
      <c r="H146" s="8">
        <v>0.94626510732992164</v>
      </c>
      <c r="I146" s="8">
        <v>2.8427302722719161</v>
      </c>
      <c r="J146" s="8">
        <v>4.4413691389433945</v>
      </c>
      <c r="K146" s="8">
        <v>2.4729297912439576</v>
      </c>
      <c r="L146" s="8">
        <v>0.14014592717106736</v>
      </c>
      <c r="M146" s="8">
        <v>0.23758116441801991</v>
      </c>
      <c r="N146" s="8">
        <v>100</v>
      </c>
      <c r="O146" s="8">
        <v>0.48158885862127931</v>
      </c>
    </row>
    <row r="147" spans="2:15" x14ac:dyDescent="0.2">
      <c r="B147" s="23" t="s">
        <v>319</v>
      </c>
      <c r="C147" s="8">
        <v>70.460261406900088</v>
      </c>
      <c r="D147" s="8">
        <v>0.54724048906486511</v>
      </c>
      <c r="E147" s="8">
        <v>14.428775332126206</v>
      </c>
      <c r="F147" s="8">
        <v>3.2343414725003758</v>
      </c>
      <c r="G147" s="8">
        <v>5.3048364095995199E-2</v>
      </c>
      <c r="H147" s="8">
        <v>0.87261011722004378</v>
      </c>
      <c r="I147" s="8">
        <v>2.9573288905012656</v>
      </c>
      <c r="J147" s="8">
        <v>4.7456453001807635</v>
      </c>
      <c r="K147" s="8">
        <v>2.4357216383163633</v>
      </c>
      <c r="L147" s="8">
        <v>0.15942487269760847</v>
      </c>
      <c r="M147" s="8">
        <v>0.136659740296044</v>
      </c>
      <c r="N147" s="8">
        <v>100</v>
      </c>
      <c r="O147" s="8">
        <v>-7.8486687976763392E-2</v>
      </c>
    </row>
    <row r="148" spans="2:15" x14ac:dyDescent="0.2">
      <c r="B148" s="23" t="s">
        <v>253</v>
      </c>
      <c r="C148" s="8">
        <v>72.179040386687291</v>
      </c>
      <c r="D148" s="8">
        <v>0.5308382811005169</v>
      </c>
      <c r="E148" s="8">
        <v>13.86888093953908</v>
      </c>
      <c r="F148" s="8">
        <v>2.7806717597058732</v>
      </c>
      <c r="G148" s="8">
        <v>2.0052043373394418E-2</v>
      </c>
      <c r="H148" s="8">
        <v>0.66666108728259088</v>
      </c>
      <c r="I148" s="8">
        <v>2.3806786998194549</v>
      </c>
      <c r="J148" s="8">
        <v>4.6305510969921224</v>
      </c>
      <c r="K148" s="8">
        <v>2.6883168180049628</v>
      </c>
      <c r="L148" s="8">
        <v>9.8128676872666812E-2</v>
      </c>
      <c r="M148" s="8">
        <v>0.20225181102332604</v>
      </c>
      <c r="N148" s="8">
        <v>100</v>
      </c>
      <c r="O148" s="8">
        <v>-0.20923865874563319</v>
      </c>
    </row>
    <row r="149" spans="2:15" x14ac:dyDescent="0.2">
      <c r="B149" s="23" t="s">
        <v>263</v>
      </c>
      <c r="C149" s="8">
        <v>73.75059495199126</v>
      </c>
      <c r="D149" s="8">
        <v>0.47728512125426953</v>
      </c>
      <c r="E149" s="8">
        <v>13.664098005969811</v>
      </c>
      <c r="F149" s="8">
        <v>2.3320694776827944</v>
      </c>
      <c r="G149" s="8">
        <v>2.7516438862217614E-2</v>
      </c>
      <c r="H149" s="8">
        <v>0.51760549287604785</v>
      </c>
      <c r="I149" s="8">
        <v>1.9313193541716269</v>
      </c>
      <c r="J149" s="8">
        <v>4.4844233453138589</v>
      </c>
      <c r="K149" s="8">
        <v>2.5960775124016275</v>
      </c>
      <c r="L149" s="8">
        <v>6.2137235295023137E-2</v>
      </c>
      <c r="M149" s="8">
        <v>0.202560167063565</v>
      </c>
      <c r="N149" s="8">
        <v>100</v>
      </c>
      <c r="O149" s="8">
        <v>0.55399197178428494</v>
      </c>
    </row>
    <row r="150" spans="2:15" x14ac:dyDescent="0.2">
      <c r="B150" s="23" t="s">
        <v>317</v>
      </c>
      <c r="C150" s="8">
        <v>75.555492884819998</v>
      </c>
      <c r="D150" s="8">
        <v>0.43350572832965389</v>
      </c>
      <c r="E150" s="8">
        <v>12.817410664152284</v>
      </c>
      <c r="F150" s="8">
        <v>1.900888452906258</v>
      </c>
      <c r="G150" s="8">
        <v>6.0898210006174569E-2</v>
      </c>
      <c r="H150" s="8">
        <v>0.33159948597745215</v>
      </c>
      <c r="I150" s="8">
        <v>1.4671293465172388</v>
      </c>
      <c r="J150" s="8">
        <v>4.3501795293792718</v>
      </c>
      <c r="K150" s="8">
        <v>2.9151845593243264</v>
      </c>
      <c r="L150" s="8">
        <v>2.906407215874126E-2</v>
      </c>
      <c r="M150" s="8">
        <v>0.17906488877127202</v>
      </c>
      <c r="N150" s="8">
        <v>100</v>
      </c>
      <c r="O150" s="8">
        <v>0.54387478078744778</v>
      </c>
    </row>
    <row r="151" spans="2:15" x14ac:dyDescent="0.2">
      <c r="B151" s="23" t="s">
        <v>321</v>
      </c>
      <c r="C151" s="8">
        <v>76.461892787189655</v>
      </c>
      <c r="D151" s="8">
        <v>0.38210159504533414</v>
      </c>
      <c r="E151" s="8">
        <v>12.383159751281628</v>
      </c>
      <c r="F151" s="8">
        <v>1.725695503822918</v>
      </c>
      <c r="G151" s="8">
        <v>6.483344355559939E-2</v>
      </c>
      <c r="H151" s="8">
        <v>0.28712281768638248</v>
      </c>
      <c r="I151" s="8">
        <v>1.2867103231325503</v>
      </c>
      <c r="J151" s="8">
        <v>4.3312491980818502</v>
      </c>
      <c r="K151" s="8">
        <v>2.9172305798299534</v>
      </c>
      <c r="L151" s="8">
        <v>0</v>
      </c>
      <c r="M151" s="8">
        <v>0.20620986506629116</v>
      </c>
      <c r="N151" s="8">
        <v>100</v>
      </c>
      <c r="O151" s="8">
        <v>-0.11499689097443877</v>
      </c>
    </row>
    <row r="152" spans="2:15" x14ac:dyDescent="0.2">
      <c r="B152" s="23" t="s">
        <v>312</v>
      </c>
      <c r="C152" s="8">
        <v>77.173126817929045</v>
      </c>
      <c r="D152" s="8">
        <v>0.35511555829981351</v>
      </c>
      <c r="E152" s="8">
        <v>12.101472830141697</v>
      </c>
      <c r="F152" s="8">
        <v>1.5663338473158619</v>
      </c>
      <c r="G152" s="8">
        <v>3.8603948925656627E-2</v>
      </c>
      <c r="H152" s="8">
        <v>0.22960101369523844</v>
      </c>
      <c r="I152" s="8">
        <v>1.1066763689050874</v>
      </c>
      <c r="J152" s="8">
        <v>4.2259092528725759</v>
      </c>
      <c r="K152" s="8">
        <v>3.0232263814266873</v>
      </c>
      <c r="L152" s="8">
        <v>3.2790484592339048E-2</v>
      </c>
      <c r="M152" s="8">
        <v>0.18955314581440272</v>
      </c>
      <c r="N152" s="8">
        <v>100</v>
      </c>
      <c r="O152" s="8">
        <v>-0.55966055379319357</v>
      </c>
    </row>
    <row r="153" spans="2:15" x14ac:dyDescent="0.2">
      <c r="B153" s="23" t="s">
        <v>320</v>
      </c>
      <c r="C153" s="8">
        <v>77.952832597479883</v>
      </c>
      <c r="D153" s="8">
        <v>0.14455746612433523</v>
      </c>
      <c r="E153" s="8">
        <v>12.086116288592166</v>
      </c>
      <c r="F153" s="8">
        <v>1.1814763719165475</v>
      </c>
      <c r="G153" s="8">
        <v>4.8211115905112741E-2</v>
      </c>
      <c r="H153" s="8">
        <v>8.1535275409985647E-2</v>
      </c>
      <c r="I153" s="8">
        <v>0.74716049765183645</v>
      </c>
      <c r="J153" s="8">
        <v>4.4603705068830619</v>
      </c>
      <c r="K153" s="8">
        <v>3.0979557919807572</v>
      </c>
      <c r="L153" s="8">
        <v>4.1931155433705326E-2</v>
      </c>
      <c r="M153" s="8">
        <v>0.20384425905224432</v>
      </c>
      <c r="N153" s="8">
        <v>100</v>
      </c>
      <c r="O153" s="8">
        <v>1.1617982587566331</v>
      </c>
    </row>
    <row r="154" spans="2:15" x14ac:dyDescent="0.2">
      <c r="B154" s="23" t="s">
        <v>259</v>
      </c>
      <c r="C154" s="8">
        <v>78.113352495751599</v>
      </c>
      <c r="D154" s="8">
        <v>0.15644550937796034</v>
      </c>
      <c r="E154" s="8">
        <v>12.012735195719218</v>
      </c>
      <c r="F154" s="8">
        <v>1.1343390314926904</v>
      </c>
      <c r="G154" s="8">
        <v>2.4695823018212069E-2</v>
      </c>
      <c r="H154" s="8">
        <v>8.9947375308640193E-2</v>
      </c>
      <c r="I154" s="8">
        <v>0.71594708595244649</v>
      </c>
      <c r="J154" s="8">
        <v>4.3704935463839023</v>
      </c>
      <c r="K154" s="8">
        <v>3.2142330684400471</v>
      </c>
      <c r="L154" s="8">
        <v>0</v>
      </c>
      <c r="M154" s="8">
        <v>0.21674701340814781</v>
      </c>
      <c r="N154" s="8">
        <v>100</v>
      </c>
      <c r="O154" s="8">
        <v>0.76864422810319866</v>
      </c>
    </row>
    <row r="155" spans="2:15" x14ac:dyDescent="0.2">
      <c r="B155" s="23" t="s">
        <v>255</v>
      </c>
      <c r="C155" s="8">
        <v>78.155881146466811</v>
      </c>
      <c r="D155" s="8">
        <v>0.1523071506159753</v>
      </c>
      <c r="E155" s="8">
        <v>12.009811763523178</v>
      </c>
      <c r="F155" s="8">
        <v>1.1997265286315211</v>
      </c>
      <c r="G155" s="8">
        <v>3.6520366801965159E-2</v>
      </c>
      <c r="H155" s="8">
        <v>9.9560343895931921E-2</v>
      </c>
      <c r="I155" s="8">
        <v>0.7321709255371649</v>
      </c>
      <c r="J155" s="8">
        <v>4.3053438901675039</v>
      </c>
      <c r="K155" s="8">
        <v>3.1242183622732003</v>
      </c>
      <c r="L155" s="8">
        <v>3.3542602090429065E-2</v>
      </c>
      <c r="M155" s="8">
        <v>0.1948528619157989</v>
      </c>
      <c r="N155" s="8">
        <v>100</v>
      </c>
      <c r="O155" s="8">
        <v>1.1674767788537395</v>
      </c>
    </row>
    <row r="156" spans="2:15" x14ac:dyDescent="0.2">
      <c r="B156" s="23" t="s">
        <v>322</v>
      </c>
      <c r="C156" s="8">
        <v>78.186188353973336</v>
      </c>
      <c r="D156" s="8">
        <v>0.15945718198758496</v>
      </c>
      <c r="E156" s="8">
        <v>12.191719960594915</v>
      </c>
      <c r="F156" s="8">
        <v>1.1353307913350952</v>
      </c>
      <c r="G156" s="8">
        <v>3.9068573375771395E-2</v>
      </c>
      <c r="H156" s="8">
        <v>0.11795694214877421</v>
      </c>
      <c r="I156" s="8">
        <v>0.71489988361386703</v>
      </c>
      <c r="J156" s="8">
        <v>4.0911430610477595</v>
      </c>
      <c r="K156" s="8">
        <v>3.1764257239500022</v>
      </c>
      <c r="L156" s="8">
        <v>3.3225735431082162E-2</v>
      </c>
      <c r="M156" s="8">
        <v>0.19961889905455726</v>
      </c>
      <c r="N156" s="8">
        <v>100</v>
      </c>
      <c r="O156" s="8">
        <v>0.56202045992179706</v>
      </c>
    </row>
    <row r="157" spans="2:15" x14ac:dyDescent="0.2">
      <c r="B157" s="23" t="s">
        <v>256</v>
      </c>
      <c r="C157" s="8">
        <v>78.224719895103135</v>
      </c>
      <c r="D157" s="8">
        <v>0.16373863577558051</v>
      </c>
      <c r="E157" s="8">
        <v>12.161401288807296</v>
      </c>
      <c r="F157" s="8">
        <v>1.1902862360051214</v>
      </c>
      <c r="G157" s="8">
        <v>9.0055544661960293E-2</v>
      </c>
      <c r="H157" s="8">
        <v>7.6238265489366963E-2</v>
      </c>
      <c r="I157" s="8">
        <v>0.7207595995422762</v>
      </c>
      <c r="J157" s="8">
        <v>4.0459982679295434</v>
      </c>
      <c r="K157" s="8">
        <v>3.1535479480161581</v>
      </c>
      <c r="L157" s="8">
        <v>2.9184583321250616E-2</v>
      </c>
      <c r="M157" s="8">
        <v>0.1861087493190218</v>
      </c>
      <c r="N157" s="8">
        <v>100</v>
      </c>
      <c r="O157" s="8">
        <v>0.71127731708769204</v>
      </c>
    </row>
    <row r="158" spans="2:15" x14ac:dyDescent="0.2">
      <c r="B158" s="23" t="s">
        <v>387</v>
      </c>
      <c r="C158" s="8">
        <v>78.253861993357063</v>
      </c>
      <c r="D158" s="8">
        <v>0.15275582147326927</v>
      </c>
      <c r="E158" s="8">
        <v>12.095274712564299</v>
      </c>
      <c r="F158" s="8">
        <v>1.1873578104730478</v>
      </c>
      <c r="G158" s="8">
        <v>6.7034477949243304E-2</v>
      </c>
      <c r="H158" s="8">
        <v>9.6674043544351163E-2</v>
      </c>
      <c r="I158" s="8">
        <v>0.70808666015000266</v>
      </c>
      <c r="J158" s="8">
        <v>4.1934044493510108</v>
      </c>
      <c r="K158" s="8">
        <v>3.0797173374143574</v>
      </c>
      <c r="L158" s="8">
        <v>0</v>
      </c>
      <c r="M158" s="8">
        <v>0.21414903860533982</v>
      </c>
      <c r="N158" s="8">
        <v>100</v>
      </c>
      <c r="O158" s="8">
        <v>0.85549700212109769</v>
      </c>
    </row>
    <row r="159" spans="2:15" x14ac:dyDescent="0.2">
      <c r="B159" s="23" t="s">
        <v>388</v>
      </c>
      <c r="C159" s="8">
        <v>78.278351995035663</v>
      </c>
      <c r="D159" s="8">
        <v>0.13988592849360823</v>
      </c>
      <c r="E159" s="8">
        <v>12.159333180779866</v>
      </c>
      <c r="F159" s="8">
        <v>1.229246751300181</v>
      </c>
      <c r="G159" s="8">
        <v>3.7765132980166906E-2</v>
      </c>
      <c r="H159" s="8">
        <v>0.12113811130869254</v>
      </c>
      <c r="I159" s="8">
        <v>0.75246535400913128</v>
      </c>
      <c r="J159" s="8">
        <v>4.0169020210036352</v>
      </c>
      <c r="K159" s="8">
        <v>3.1114467021952663</v>
      </c>
      <c r="L159" s="8">
        <v>0</v>
      </c>
      <c r="M159" s="8">
        <v>0.19823893845884702</v>
      </c>
      <c r="N159" s="8">
        <v>100</v>
      </c>
      <c r="O159" s="8">
        <v>0.92713292006885695</v>
      </c>
    </row>
    <row r="160" spans="2:15" x14ac:dyDescent="0.2">
      <c r="B160" s="24" t="s">
        <v>20</v>
      </c>
      <c r="C160" s="18">
        <f t="shared" ref="C160:O160" si="16">AVERAGE(C145:C159)</f>
        <v>75.453255610227828</v>
      </c>
      <c r="D160" s="18">
        <f t="shared" si="16"/>
        <v>0.34764965635934225</v>
      </c>
      <c r="E160" s="18">
        <f t="shared" si="16"/>
        <v>12.88920054193669</v>
      </c>
      <c r="F160" s="18">
        <f t="shared" si="16"/>
        <v>1.9223700514608464</v>
      </c>
      <c r="G160" s="18">
        <f t="shared" si="16"/>
        <v>5.2721725962277081E-2</v>
      </c>
      <c r="H160" s="18">
        <f t="shared" si="16"/>
        <v>0.37404275402233528</v>
      </c>
      <c r="I160" s="18">
        <f t="shared" si="16"/>
        <v>1.498246672171913</v>
      </c>
      <c r="J160" s="18">
        <f t="shared" si="16"/>
        <v>4.3561879377843011</v>
      </c>
      <c r="K160" s="18">
        <f t="shared" si="16"/>
        <v>2.9013271542878343</v>
      </c>
      <c r="L160" s="18">
        <f t="shared" si="16"/>
        <v>5.5521029092772005E-2</v>
      </c>
      <c r="M160" s="18">
        <f t="shared" si="16"/>
        <v>0.19303906922998637</v>
      </c>
      <c r="N160" s="18">
        <f t="shared" si="16"/>
        <v>100</v>
      </c>
      <c r="O160" s="18">
        <f t="shared" si="16"/>
        <v>0.50396490580958186</v>
      </c>
    </row>
    <row r="161" spans="2:15" x14ac:dyDescent="0.2">
      <c r="B161" s="24" t="s">
        <v>21</v>
      </c>
      <c r="C161" s="18">
        <f t="shared" ref="C161:O161" si="17">STDEV(C145:C159)</f>
        <v>3.4396373642023383</v>
      </c>
      <c r="D161" s="18">
        <f t="shared" si="17"/>
        <v>0.21189906523004645</v>
      </c>
      <c r="E161" s="18">
        <f t="shared" si="17"/>
        <v>1.0560679834128488</v>
      </c>
      <c r="F161" s="18">
        <f t="shared" si="17"/>
        <v>0.9185875522764273</v>
      </c>
      <c r="G161" s="18">
        <f t="shared" si="17"/>
        <v>2.6530644582823008E-2</v>
      </c>
      <c r="H161" s="18">
        <f t="shared" si="17"/>
        <v>0.3527602560135174</v>
      </c>
      <c r="I161" s="18">
        <f t="shared" si="17"/>
        <v>0.96053954004305553</v>
      </c>
      <c r="J161" s="18">
        <f t="shared" si="17"/>
        <v>0.2197784535641267</v>
      </c>
      <c r="K161" s="18">
        <f t="shared" si="17"/>
        <v>0.2810647211580542</v>
      </c>
      <c r="L161" s="18">
        <f t="shared" si="17"/>
        <v>5.9208926005659065E-2</v>
      </c>
      <c r="M161" s="18">
        <f t="shared" si="17"/>
        <v>2.8254366902921827E-2</v>
      </c>
      <c r="N161" s="18">
        <f t="shared" si="17"/>
        <v>0</v>
      </c>
      <c r="O161" s="18">
        <f t="shared" si="17"/>
        <v>0.51685531110872174</v>
      </c>
    </row>
    <row r="162" spans="2:15" x14ac:dyDescent="0.2">
      <c r="B162" s="23"/>
    </row>
    <row r="163" spans="2:15" x14ac:dyDescent="0.2">
      <c r="B163" s="23" t="s">
        <v>45</v>
      </c>
      <c r="C163" s="8">
        <v>74.338999999999999</v>
      </c>
      <c r="D163" s="8">
        <v>6.8400000000000002E-2</v>
      </c>
      <c r="E163" s="8">
        <v>13.095599999999999</v>
      </c>
      <c r="F163" s="8">
        <v>1.6040000000000001</v>
      </c>
      <c r="G163" s="8">
        <v>0</v>
      </c>
      <c r="H163" s="8">
        <v>5.7244000000000003E-2</v>
      </c>
      <c r="I163" s="8">
        <v>0.75012299999999998</v>
      </c>
      <c r="J163" s="8">
        <v>4.1448499999999999</v>
      </c>
      <c r="K163" s="8">
        <v>5.3025599999999997</v>
      </c>
      <c r="L163" s="8">
        <v>1.6448000000000001E-2</v>
      </c>
      <c r="M163" s="8">
        <v>0.31451600000000002</v>
      </c>
      <c r="N163" s="8">
        <v>99.621799999999993</v>
      </c>
      <c r="O163" s="8">
        <f t="shared" ref="O163:O168" si="18">100-N163</f>
        <v>0.37820000000000675</v>
      </c>
    </row>
    <row r="164" spans="2:15" x14ac:dyDescent="0.2">
      <c r="B164" s="23" t="s">
        <v>46</v>
      </c>
      <c r="C164" s="8">
        <v>74.472200000000001</v>
      </c>
      <c r="D164" s="8">
        <v>5.8483E-2</v>
      </c>
      <c r="E164" s="8">
        <v>13.138500000000001</v>
      </c>
      <c r="F164" s="8">
        <v>1.5108200000000001</v>
      </c>
      <c r="G164" s="8">
        <v>6.1934999999999997E-2</v>
      </c>
      <c r="H164" s="8">
        <v>6.5434000000000006E-2</v>
      </c>
      <c r="I164" s="8">
        <v>0.71598499999999998</v>
      </c>
      <c r="J164" s="8">
        <v>4.1909400000000003</v>
      </c>
      <c r="K164" s="8">
        <v>5.3576899999999998</v>
      </c>
      <c r="L164" s="8">
        <v>0</v>
      </c>
      <c r="M164" s="8">
        <v>0.31089899999999998</v>
      </c>
      <c r="N164" s="8">
        <v>99.812700000000007</v>
      </c>
      <c r="O164" s="8">
        <f t="shared" si="18"/>
        <v>0.18729999999999336</v>
      </c>
    </row>
    <row r="165" spans="2:15" x14ac:dyDescent="0.2">
      <c r="B165" s="23" t="s">
        <v>47</v>
      </c>
      <c r="C165" s="8">
        <v>74.419600000000003</v>
      </c>
      <c r="D165" s="8">
        <v>5.2284999999999998E-2</v>
      </c>
      <c r="E165" s="8">
        <v>13.0823</v>
      </c>
      <c r="F165" s="8">
        <v>1.50173</v>
      </c>
      <c r="G165" s="8">
        <v>2.7345999999999999E-2</v>
      </c>
      <c r="H165" s="8">
        <v>5.7568000000000001E-2</v>
      </c>
      <c r="I165" s="8">
        <v>0.75732100000000002</v>
      </c>
      <c r="J165" s="8">
        <v>4.0254300000000001</v>
      </c>
      <c r="K165" s="8">
        <v>5.2707199999999998</v>
      </c>
      <c r="L165" s="8">
        <v>0</v>
      </c>
      <c r="M165" s="8">
        <v>0.29452099999999998</v>
      </c>
      <c r="N165" s="8">
        <v>99.422399999999996</v>
      </c>
      <c r="O165" s="8">
        <f t="shared" si="18"/>
        <v>0.57760000000000389</v>
      </c>
    </row>
    <row r="166" spans="2:15" x14ac:dyDescent="0.2">
      <c r="B166" s="23" t="s">
        <v>48</v>
      </c>
      <c r="C166" s="8">
        <v>74.671300000000002</v>
      </c>
      <c r="D166" s="8">
        <v>1.2829999999999999E-2</v>
      </c>
      <c r="E166" s="8">
        <v>12.975300000000001</v>
      </c>
      <c r="F166" s="8">
        <v>1.47183</v>
      </c>
      <c r="G166" s="8">
        <v>9.0629000000000001E-2</v>
      </c>
      <c r="H166" s="8">
        <v>7.3691999999999994E-2</v>
      </c>
      <c r="I166" s="8">
        <v>0.74043400000000004</v>
      </c>
      <c r="J166" s="8">
        <v>3.84416</v>
      </c>
      <c r="K166" s="8">
        <v>5.3350600000000004</v>
      </c>
      <c r="L166" s="8">
        <v>0</v>
      </c>
      <c r="M166" s="8">
        <v>0.329926</v>
      </c>
      <c r="N166" s="8">
        <v>99.470799999999997</v>
      </c>
      <c r="O166" s="8">
        <f t="shared" si="18"/>
        <v>0.529200000000003</v>
      </c>
    </row>
    <row r="167" spans="2:15" x14ac:dyDescent="0.2">
      <c r="B167" s="23" t="s">
        <v>49</v>
      </c>
      <c r="C167" s="8">
        <v>74.604900000000001</v>
      </c>
      <c r="D167" s="8">
        <v>0.11072700000000001</v>
      </c>
      <c r="E167" s="8">
        <v>13.169700000000001</v>
      </c>
      <c r="F167" s="8">
        <v>1.46448</v>
      </c>
      <c r="G167" s="8">
        <v>6.7581000000000002E-2</v>
      </c>
      <c r="H167" s="8">
        <v>3.4562000000000002E-2</v>
      </c>
      <c r="I167" s="8">
        <v>0.72693099999999999</v>
      </c>
      <c r="J167" s="8">
        <v>4.2169299999999996</v>
      </c>
      <c r="K167" s="8">
        <v>5.4011800000000001</v>
      </c>
      <c r="L167" s="8">
        <v>0</v>
      </c>
      <c r="M167" s="8">
        <v>0.33610299999999999</v>
      </c>
      <c r="N167" s="8">
        <v>100.057</v>
      </c>
      <c r="O167" s="8">
        <f t="shared" si="18"/>
        <v>-5.700000000000216E-2</v>
      </c>
    </row>
    <row r="168" spans="2:15" x14ac:dyDescent="0.2">
      <c r="B168" s="23" t="s">
        <v>50</v>
      </c>
      <c r="C168" s="8">
        <v>75.086200000000005</v>
      </c>
      <c r="D168" s="8">
        <v>5.8008999999999998E-2</v>
      </c>
      <c r="E168" s="8">
        <v>13.0441</v>
      </c>
      <c r="F168" s="8">
        <v>1.70844</v>
      </c>
      <c r="G168" s="8">
        <v>7.6184000000000002E-2</v>
      </c>
      <c r="H168" s="8">
        <v>7.3417999999999997E-2</v>
      </c>
      <c r="I168" s="8">
        <v>0.72928400000000004</v>
      </c>
      <c r="J168" s="8">
        <v>4.1438300000000003</v>
      </c>
      <c r="K168" s="8">
        <v>5.2971599999999999</v>
      </c>
      <c r="L168" s="8">
        <v>1.23E-2</v>
      </c>
      <c r="M168" s="8">
        <v>0.30703000000000003</v>
      </c>
      <c r="N168" s="8">
        <v>100.467</v>
      </c>
      <c r="O168" s="8">
        <f t="shared" si="18"/>
        <v>-0.46699999999999875</v>
      </c>
    </row>
    <row r="169" spans="2:15" x14ac:dyDescent="0.2">
      <c r="B169" s="24" t="s">
        <v>20</v>
      </c>
      <c r="C169" s="18">
        <f>AVERAGE(C163:C168)</f>
        <v>74.598866666666666</v>
      </c>
      <c r="D169" s="18">
        <f t="shared" ref="D169:O169" si="19">AVERAGE(D163:D168)</f>
        <v>6.0122333333333333E-2</v>
      </c>
      <c r="E169" s="18">
        <f t="shared" si="19"/>
        <v>13.084250000000003</v>
      </c>
      <c r="F169" s="18">
        <f t="shared" si="19"/>
        <v>1.54355</v>
      </c>
      <c r="G169" s="18">
        <f t="shared" si="19"/>
        <v>5.3945833333333339E-2</v>
      </c>
      <c r="H169" s="18">
        <f t="shared" si="19"/>
        <v>6.031966666666666E-2</v>
      </c>
      <c r="I169" s="18">
        <f t="shared" si="19"/>
        <v>0.73667966666666673</v>
      </c>
      <c r="J169" s="18">
        <f t="shared" si="19"/>
        <v>4.0943566666666662</v>
      </c>
      <c r="K169" s="18">
        <f t="shared" si="19"/>
        <v>5.3273950000000001</v>
      </c>
      <c r="L169" s="18">
        <f t="shared" si="19"/>
        <v>4.7913333333333341E-3</v>
      </c>
      <c r="M169" s="18">
        <f t="shared" si="19"/>
        <v>0.31549916666666666</v>
      </c>
      <c r="N169" s="18">
        <f t="shared" si="19"/>
        <v>99.80861666666668</v>
      </c>
      <c r="O169" s="18">
        <f t="shared" si="19"/>
        <v>0.19138333333333435</v>
      </c>
    </row>
    <row r="170" spans="2:15" x14ac:dyDescent="0.2">
      <c r="B170" s="24" t="s">
        <v>21</v>
      </c>
      <c r="C170" s="18">
        <f>STDEV(C163:C168)</f>
        <v>0.26776423709425357</v>
      </c>
      <c r="D170" s="18">
        <f t="shared" ref="D170:O170" si="20">STDEV(D163:D168)</f>
        <v>3.1414946224156859E-2</v>
      </c>
      <c r="E170" s="18">
        <f t="shared" si="20"/>
        <v>6.9078962065161301E-2</v>
      </c>
      <c r="F170" s="18">
        <f t="shared" si="20"/>
        <v>9.4930398924685869E-2</v>
      </c>
      <c r="G170" s="18">
        <f t="shared" si="20"/>
        <v>3.3786504391053324E-2</v>
      </c>
      <c r="H170" s="18">
        <f t="shared" si="20"/>
        <v>1.453981311663485E-2</v>
      </c>
      <c r="I170" s="18">
        <f t="shared" si="20"/>
        <v>1.5484731107341413E-2</v>
      </c>
      <c r="J170" s="18">
        <f t="shared" si="20"/>
        <v>0.13906761458609498</v>
      </c>
      <c r="K170" s="18">
        <f t="shared" si="20"/>
        <v>4.7251991598238591E-2</v>
      </c>
      <c r="L170" s="18">
        <f t="shared" si="20"/>
        <v>7.5377112352932882E-3</v>
      </c>
      <c r="M170" s="18">
        <f t="shared" si="20"/>
        <v>1.5274749613878019E-2</v>
      </c>
      <c r="N170" s="18">
        <f t="shared" si="20"/>
        <v>0.39833740681320412</v>
      </c>
      <c r="O170" s="18">
        <f t="shared" si="20"/>
        <v>0.39833740681320412</v>
      </c>
    </row>
    <row r="171" spans="2:15" x14ac:dyDescent="0.2">
      <c r="B171" s="23"/>
    </row>
    <row r="172" spans="2:15" x14ac:dyDescent="0.2">
      <c r="B172" s="23" t="s">
        <v>51</v>
      </c>
      <c r="C172" s="8">
        <v>75.114347819977382</v>
      </c>
      <c r="D172" s="8">
        <v>0.32071209050577454</v>
      </c>
      <c r="E172" s="8">
        <v>13.148748361425586</v>
      </c>
      <c r="F172" s="8">
        <v>1.6213869593023278</v>
      </c>
      <c r="G172" s="8">
        <v>8.6550155477036608E-2</v>
      </c>
      <c r="H172" s="8">
        <v>0.32015472025032504</v>
      </c>
      <c r="I172" s="8">
        <v>1.4361469788738828</v>
      </c>
      <c r="J172" s="8">
        <v>3.9671684226704378</v>
      </c>
      <c r="K172" s="8">
        <v>3.6961995546742781</v>
      </c>
      <c r="L172" s="8">
        <v>6.3950192828698196E-2</v>
      </c>
      <c r="M172" s="8">
        <v>0.29010966106131741</v>
      </c>
      <c r="N172" s="8">
        <v>100</v>
      </c>
      <c r="O172" s="8">
        <v>3.654708024037987</v>
      </c>
    </row>
    <row r="173" spans="2:15" x14ac:dyDescent="0.2">
      <c r="B173" s="23" t="s">
        <v>52</v>
      </c>
      <c r="C173" s="8">
        <v>75.16140645250384</v>
      </c>
      <c r="D173" s="8">
        <v>0.21569251908091897</v>
      </c>
      <c r="E173" s="8">
        <v>12.993298282508537</v>
      </c>
      <c r="F173" s="8">
        <v>1.7493072008262136</v>
      </c>
      <c r="G173" s="8">
        <v>5.3860943698733552E-2</v>
      </c>
      <c r="H173" s="8">
        <v>0.29126290655101705</v>
      </c>
      <c r="I173" s="8">
        <v>1.5154667565791178</v>
      </c>
      <c r="J173" s="8">
        <v>3.9607792034699689</v>
      </c>
      <c r="K173" s="8">
        <v>3.7866569002775754</v>
      </c>
      <c r="L173" s="8">
        <v>4.2736141720109706E-2</v>
      </c>
      <c r="M173" s="8">
        <v>0.29640223409994065</v>
      </c>
      <c r="N173" s="8">
        <v>100</v>
      </c>
      <c r="O173" s="8">
        <v>3.9173908844511516</v>
      </c>
    </row>
    <row r="174" spans="2:15" x14ac:dyDescent="0.2">
      <c r="B174" s="23" t="s">
        <v>53</v>
      </c>
      <c r="C174" s="8">
        <v>74.940648189032999</v>
      </c>
      <c r="D174" s="8">
        <v>0.3104171967357538</v>
      </c>
      <c r="E174" s="8">
        <v>13.168747818474943</v>
      </c>
      <c r="F174" s="8">
        <v>1.7715980589176827</v>
      </c>
      <c r="G174" s="8">
        <v>6.728464633759805E-2</v>
      </c>
      <c r="H174" s="8">
        <v>0.31876301472938667</v>
      </c>
      <c r="I174" s="8">
        <v>1.4276529792997543</v>
      </c>
      <c r="J174" s="8">
        <v>4.069111656848249</v>
      </c>
      <c r="K174" s="8">
        <v>3.6662799686044476</v>
      </c>
      <c r="L174" s="8">
        <v>6.8358304299381778E-2</v>
      </c>
      <c r="M174" s="8">
        <v>0.24691116058923962</v>
      </c>
      <c r="N174" s="8">
        <v>100</v>
      </c>
      <c r="O174" s="8">
        <v>3.8800030611727294</v>
      </c>
    </row>
    <row r="175" spans="2:15" x14ac:dyDescent="0.2">
      <c r="B175" s="23" t="s">
        <v>54</v>
      </c>
      <c r="C175" s="8">
        <v>75.232063732585303</v>
      </c>
      <c r="D175" s="8">
        <v>0.36711285572153518</v>
      </c>
      <c r="E175" s="8">
        <v>13.04687870034067</v>
      </c>
      <c r="F175" s="8">
        <v>1.7593020398648744</v>
      </c>
      <c r="G175" s="8">
        <v>0</v>
      </c>
      <c r="H175" s="8">
        <v>0.29715792811366737</v>
      </c>
      <c r="I175" s="8">
        <v>1.4805190917878919</v>
      </c>
      <c r="J175" s="8">
        <v>3.9144615799036284</v>
      </c>
      <c r="K175" s="8">
        <v>3.6505055116769243</v>
      </c>
      <c r="L175" s="8">
        <v>2.0952599827469571E-2</v>
      </c>
      <c r="M175" s="8">
        <v>0.29829163183004193</v>
      </c>
      <c r="N175" s="8">
        <v>100</v>
      </c>
      <c r="O175" s="8">
        <v>2.0026146202604593</v>
      </c>
    </row>
    <row r="176" spans="2:15" x14ac:dyDescent="0.2">
      <c r="B176" s="23" t="s">
        <v>55</v>
      </c>
      <c r="C176" s="8">
        <v>74.936421661651295</v>
      </c>
      <c r="D176" s="8">
        <v>0.23128533324669026</v>
      </c>
      <c r="E176" s="8">
        <v>13.244588022502255</v>
      </c>
      <c r="F176" s="8">
        <v>1.634004743582794</v>
      </c>
      <c r="G176" s="8">
        <v>7.8780636169409987E-2</v>
      </c>
      <c r="H176" s="8">
        <v>0.26036451794947624</v>
      </c>
      <c r="I176" s="8">
        <v>1.4967504128279367</v>
      </c>
      <c r="J176" s="8">
        <v>4.0561260047743186</v>
      </c>
      <c r="K176" s="8">
        <v>3.7257095097427557</v>
      </c>
      <c r="L176" s="8">
        <v>9.7647420456434597E-2</v>
      </c>
      <c r="M176" s="8">
        <v>0.30783698224294964</v>
      </c>
      <c r="N176" s="8">
        <v>100</v>
      </c>
      <c r="O176" s="8">
        <v>3.2744546056504618</v>
      </c>
    </row>
    <row r="177" spans="2:15" x14ac:dyDescent="0.2">
      <c r="B177" s="23" t="s">
        <v>56</v>
      </c>
      <c r="C177" s="8">
        <v>75.199715373129976</v>
      </c>
      <c r="D177" s="8">
        <v>0.30576406121086125</v>
      </c>
      <c r="E177" s="8">
        <v>13.222201821197888</v>
      </c>
      <c r="F177" s="8">
        <v>1.7275057825174827</v>
      </c>
      <c r="G177" s="8">
        <v>2.6681018624091075E-2</v>
      </c>
      <c r="H177" s="8">
        <v>0.31071689919878642</v>
      </c>
      <c r="I177" s="8">
        <v>1.4582841021251478</v>
      </c>
      <c r="J177" s="8">
        <v>3.898303962143995</v>
      </c>
      <c r="K177" s="8">
        <v>3.5460244246423058</v>
      </c>
      <c r="L177" s="8">
        <v>6.7781535610031599E-2</v>
      </c>
      <c r="M177" s="8">
        <v>0.30597738569348726</v>
      </c>
      <c r="N177" s="8">
        <v>100</v>
      </c>
      <c r="O177" s="8">
        <v>2.964724230494113</v>
      </c>
    </row>
    <row r="178" spans="2:15" x14ac:dyDescent="0.2">
      <c r="B178" s="24" t="s">
        <v>20</v>
      </c>
      <c r="C178" s="18">
        <f>AVERAGE(C172:C177)</f>
        <v>75.097433871480135</v>
      </c>
      <c r="D178" s="18">
        <f t="shared" ref="D178:O178" si="21">AVERAGE(D172:D177)</f>
        <v>0.29183067608358898</v>
      </c>
      <c r="E178" s="18">
        <f t="shared" si="21"/>
        <v>13.13741050107498</v>
      </c>
      <c r="F178" s="18">
        <f t="shared" si="21"/>
        <v>1.7105174641685625</v>
      </c>
      <c r="G178" s="18">
        <f t="shared" si="21"/>
        <v>5.219290005114488E-2</v>
      </c>
      <c r="H178" s="18">
        <f t="shared" si="21"/>
        <v>0.29973666446544311</v>
      </c>
      <c r="I178" s="18">
        <f t="shared" si="21"/>
        <v>1.4691367202489554</v>
      </c>
      <c r="J178" s="18">
        <f t="shared" si="21"/>
        <v>3.9776584716350993</v>
      </c>
      <c r="K178" s="18">
        <f t="shared" si="21"/>
        <v>3.6785626449363811</v>
      </c>
      <c r="L178" s="18">
        <f t="shared" si="21"/>
        <v>6.0237699123687573E-2</v>
      </c>
      <c r="M178" s="18">
        <f t="shared" si="21"/>
        <v>0.29092150925282939</v>
      </c>
      <c r="N178" s="18">
        <f t="shared" si="21"/>
        <v>100</v>
      </c>
      <c r="O178" s="18">
        <f t="shared" si="21"/>
        <v>3.2823159043444838</v>
      </c>
    </row>
    <row r="179" spans="2:15" x14ac:dyDescent="0.2">
      <c r="B179" s="24" t="s">
        <v>21</v>
      </c>
      <c r="C179" s="18">
        <f>STDEV(C172:C177)</f>
        <v>0.12920677984682233</v>
      </c>
      <c r="D179" s="18">
        <f t="shared" ref="D179:O179" si="22">STDEV(D172:D177)</f>
        <v>5.745241184167147E-2</v>
      </c>
      <c r="E179" s="18">
        <f t="shared" si="22"/>
        <v>9.8743609505602251E-2</v>
      </c>
      <c r="F179" s="18">
        <f t="shared" si="22"/>
        <v>6.5882416197670518E-2</v>
      </c>
      <c r="G179" s="18">
        <f t="shared" si="22"/>
        <v>3.3144612827958192E-2</v>
      </c>
      <c r="H179" s="18">
        <f t="shared" si="22"/>
        <v>2.2485928652555869E-2</v>
      </c>
      <c r="I179" s="18">
        <f t="shared" si="22"/>
        <v>3.4541423784571604E-2</v>
      </c>
      <c r="J179" s="18">
        <f t="shared" si="22"/>
        <v>7.1002499906340694E-2</v>
      </c>
      <c r="K179" s="18">
        <f t="shared" si="22"/>
        <v>8.0898333959699545E-2</v>
      </c>
      <c r="L179" s="18">
        <f t="shared" si="22"/>
        <v>2.6022094824668426E-2</v>
      </c>
      <c r="M179" s="18">
        <f t="shared" si="22"/>
        <v>2.2515503905111801E-2</v>
      </c>
      <c r="N179" s="18">
        <f t="shared" si="22"/>
        <v>0</v>
      </c>
      <c r="O179" s="18">
        <f t="shared" si="22"/>
        <v>0.7263315642882755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5CF3-8DB1-5243-A9E0-5C48D05DAADD}">
  <dimension ref="A1:AA612"/>
  <sheetViews>
    <sheetView zoomScale="75" workbookViewId="0">
      <pane ySplit="17" topLeftCell="A18" activePane="bottomLeft" state="frozen"/>
      <selection pane="bottomLeft" activeCell="M17" sqref="M17"/>
    </sheetView>
  </sheetViews>
  <sheetFormatPr baseColWidth="10" defaultRowHeight="16" x14ac:dyDescent="0.2"/>
  <cols>
    <col min="1" max="1" width="20.83203125" style="1" customWidth="1"/>
    <col min="2" max="2" width="18.5" style="1" customWidth="1"/>
    <col min="3" max="3" width="15" style="1" customWidth="1"/>
    <col min="4" max="4" width="13.1640625" style="1" customWidth="1"/>
    <col min="5" max="18" width="10.83203125" style="1"/>
    <col min="19" max="19" width="12.1640625" style="1" bestFit="1" customWidth="1"/>
    <col min="20" max="20" width="11" style="1" bestFit="1" customWidth="1"/>
    <col min="21" max="21" width="12.1640625" style="1" bestFit="1" customWidth="1"/>
    <col min="22" max="29" width="11" style="1" bestFit="1" customWidth="1"/>
    <col min="30" max="30" width="13.33203125" style="1" bestFit="1" customWidth="1"/>
    <col min="31" max="31" width="11" style="1" bestFit="1" customWidth="1"/>
    <col min="32" max="16384" width="10.83203125" style="1"/>
  </cols>
  <sheetData>
    <row r="1" spans="1:17" x14ac:dyDescent="0.2">
      <c r="A1" s="23" t="s">
        <v>0</v>
      </c>
      <c r="B1" s="23"/>
      <c r="C1" s="23"/>
      <c r="D1" s="23"/>
      <c r="E1" s="23"/>
      <c r="F1" s="23"/>
    </row>
    <row r="3" spans="1:17" x14ac:dyDescent="0.2">
      <c r="A3" s="23" t="s">
        <v>1</v>
      </c>
      <c r="B3" s="1" t="s">
        <v>16</v>
      </c>
    </row>
    <row r="4" spans="1:17" x14ac:dyDescent="0.2">
      <c r="A4" s="23" t="s">
        <v>17</v>
      </c>
      <c r="B4" s="1" t="s">
        <v>83</v>
      </c>
    </row>
    <row r="5" spans="1:17" x14ac:dyDescent="0.2">
      <c r="A5" s="23" t="s">
        <v>2</v>
      </c>
      <c r="B5" s="1" t="s">
        <v>69</v>
      </c>
    </row>
    <row r="6" spans="1:17" x14ac:dyDescent="0.2">
      <c r="B6" s="1" t="s">
        <v>3</v>
      </c>
    </row>
    <row r="7" spans="1:17" x14ac:dyDescent="0.2">
      <c r="B7" s="1" t="s">
        <v>84</v>
      </c>
    </row>
    <row r="8" spans="1:17" x14ac:dyDescent="0.2">
      <c r="B8" s="1" t="s">
        <v>70</v>
      </c>
    </row>
    <row r="10" spans="1:17" ht="19" x14ac:dyDescent="0.2">
      <c r="D10" s="23" t="s">
        <v>5</v>
      </c>
      <c r="E10" s="31" t="s">
        <v>85</v>
      </c>
      <c r="F10" s="31" t="s">
        <v>86</v>
      </c>
      <c r="G10" s="31" t="s">
        <v>87</v>
      </c>
      <c r="H10" s="31" t="s">
        <v>12</v>
      </c>
      <c r="I10" s="31" t="s">
        <v>13</v>
      </c>
      <c r="J10" s="31" t="s">
        <v>14</v>
      </c>
      <c r="K10" s="31" t="s">
        <v>15</v>
      </c>
      <c r="L10" s="31" t="s">
        <v>88</v>
      </c>
      <c r="M10" s="31" t="s">
        <v>89</v>
      </c>
      <c r="N10" s="31" t="s">
        <v>90</v>
      </c>
      <c r="O10" s="32" t="s">
        <v>6</v>
      </c>
      <c r="P10" s="32" t="s">
        <v>7</v>
      </c>
      <c r="Q10" s="32" t="s">
        <v>8</v>
      </c>
    </row>
    <row r="11" spans="1:17" x14ac:dyDescent="0.2">
      <c r="D11" s="33" t="s">
        <v>9</v>
      </c>
      <c r="E11" s="10">
        <v>74.099999999999994</v>
      </c>
      <c r="F11" s="10">
        <v>7.0000000000000007E-2</v>
      </c>
      <c r="G11" s="10">
        <v>13.1</v>
      </c>
      <c r="H11" s="10">
        <v>1.55</v>
      </c>
      <c r="I11" s="10">
        <v>7.0000000000000007E-2</v>
      </c>
      <c r="J11" s="10">
        <v>0.04</v>
      </c>
      <c r="K11" s="10">
        <v>0.74</v>
      </c>
      <c r="L11" s="10">
        <v>4.0599999999999996</v>
      </c>
      <c r="M11" s="10">
        <v>5.13</v>
      </c>
      <c r="N11" s="11">
        <v>0.01</v>
      </c>
      <c r="O11" s="10">
        <v>0.34</v>
      </c>
      <c r="P11" s="10">
        <v>99.09</v>
      </c>
      <c r="Q11" s="12"/>
    </row>
    <row r="12" spans="1:17" x14ac:dyDescent="0.2">
      <c r="D12" s="34" t="s">
        <v>10</v>
      </c>
      <c r="E12" s="13">
        <v>0.96</v>
      </c>
      <c r="F12" s="13">
        <v>0.03</v>
      </c>
      <c r="G12" s="13">
        <v>0.34</v>
      </c>
      <c r="H12" s="13">
        <v>0.06</v>
      </c>
      <c r="I12" s="13">
        <v>0.03</v>
      </c>
      <c r="J12" s="13">
        <v>0.02</v>
      </c>
      <c r="K12" s="13">
        <v>0.05</v>
      </c>
      <c r="L12" s="13">
        <v>0.28000000000000003</v>
      </c>
      <c r="M12" s="13">
        <v>0.26</v>
      </c>
      <c r="N12" s="14">
        <v>0.02</v>
      </c>
      <c r="O12" s="13">
        <v>0.03</v>
      </c>
      <c r="P12" s="13"/>
      <c r="Q12" s="15"/>
    </row>
    <row r="13" spans="1:17" x14ac:dyDescent="0.2">
      <c r="D13" s="33" t="s">
        <v>11</v>
      </c>
      <c r="E13" s="10">
        <v>75.150000000000006</v>
      </c>
      <c r="F13" s="10">
        <v>0.31</v>
      </c>
      <c r="G13" s="10">
        <v>13.14</v>
      </c>
      <c r="H13" s="10">
        <v>1.7</v>
      </c>
      <c r="I13" s="10">
        <v>0.05</v>
      </c>
      <c r="J13" s="10">
        <v>0.28999999999999998</v>
      </c>
      <c r="K13" s="10">
        <v>1.48</v>
      </c>
      <c r="L13" s="10">
        <v>3.84</v>
      </c>
      <c r="M13" s="10">
        <v>3.72</v>
      </c>
      <c r="N13" s="2"/>
      <c r="O13" s="10">
        <v>0.28000000000000003</v>
      </c>
      <c r="P13" s="10">
        <v>100</v>
      </c>
      <c r="Q13" s="10">
        <v>4.12</v>
      </c>
    </row>
    <row r="14" spans="1:17" x14ac:dyDescent="0.2">
      <c r="D14" s="34" t="s">
        <v>10</v>
      </c>
      <c r="E14" s="13">
        <v>1</v>
      </c>
      <c r="F14" s="13">
        <v>0.05</v>
      </c>
      <c r="G14" s="13">
        <v>0.34</v>
      </c>
      <c r="H14" s="13">
        <v>0.14000000000000001</v>
      </c>
      <c r="I14" s="13">
        <v>0.03</v>
      </c>
      <c r="J14" s="13">
        <v>0.03</v>
      </c>
      <c r="K14" s="13">
        <v>0.05</v>
      </c>
      <c r="L14" s="13">
        <v>0.26</v>
      </c>
      <c r="M14" s="13">
        <v>0.26</v>
      </c>
      <c r="N14" s="3"/>
      <c r="O14" s="13">
        <v>0.05</v>
      </c>
      <c r="P14" s="13"/>
      <c r="Q14" s="13"/>
    </row>
    <row r="15" spans="1:17" x14ac:dyDescent="0.2">
      <c r="D15" s="4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</row>
    <row r="16" spans="1:17" x14ac:dyDescent="0.2">
      <c r="A16" s="23" t="s">
        <v>18</v>
      </c>
      <c r="B16" s="23" t="s">
        <v>59</v>
      </c>
      <c r="C16" s="23" t="s">
        <v>60</v>
      </c>
    </row>
    <row r="17" spans="1:18" ht="19" x14ac:dyDescent="0.2">
      <c r="D17" s="23" t="s">
        <v>57</v>
      </c>
      <c r="E17" s="31" t="s">
        <v>85</v>
      </c>
      <c r="F17" s="31" t="s">
        <v>86</v>
      </c>
      <c r="G17" s="31" t="s">
        <v>606</v>
      </c>
      <c r="H17" s="31" t="s">
        <v>12</v>
      </c>
      <c r="I17" s="31" t="s">
        <v>13</v>
      </c>
      <c r="J17" s="31" t="s">
        <v>14</v>
      </c>
      <c r="K17" s="31" t="s">
        <v>15</v>
      </c>
      <c r="L17" s="31" t="s">
        <v>88</v>
      </c>
      <c r="M17" s="31" t="s">
        <v>607</v>
      </c>
      <c r="N17" s="31" t="s">
        <v>90</v>
      </c>
      <c r="O17" s="32" t="s">
        <v>6</v>
      </c>
      <c r="P17" s="32" t="s">
        <v>7</v>
      </c>
      <c r="Q17" s="32" t="s">
        <v>8</v>
      </c>
    </row>
    <row r="18" spans="1:18" x14ac:dyDescent="0.2">
      <c r="E18" s="9"/>
      <c r="F18" s="9"/>
      <c r="G18" s="9"/>
      <c r="H18" s="9"/>
      <c r="I18" s="9"/>
      <c r="J18" s="9"/>
      <c r="K18" s="9"/>
      <c r="L18" s="9"/>
      <c r="M18" s="9"/>
      <c r="N18" s="9"/>
      <c r="O18" s="8"/>
      <c r="P18" s="8"/>
      <c r="Q18" s="8"/>
    </row>
    <row r="19" spans="1:18" x14ac:dyDescent="0.2">
      <c r="A19" s="1" t="s">
        <v>68</v>
      </c>
      <c r="D19" s="23" t="s">
        <v>23</v>
      </c>
      <c r="E19" s="8">
        <v>74.225999999999999</v>
      </c>
      <c r="F19" s="8">
        <v>4.2476E-2</v>
      </c>
      <c r="G19" s="8">
        <v>13.2454</v>
      </c>
      <c r="H19" s="8">
        <v>1.57525</v>
      </c>
      <c r="I19" s="8">
        <v>4.0140000000000002E-2</v>
      </c>
      <c r="J19" s="8">
        <v>1.8877999999999999E-2</v>
      </c>
      <c r="K19" s="8">
        <v>0.73546800000000001</v>
      </c>
      <c r="L19" s="8">
        <v>4.3303399999999996</v>
      </c>
      <c r="M19" s="8">
        <v>5.11043</v>
      </c>
      <c r="N19" s="8">
        <v>3.2988000000000003E-2</v>
      </c>
      <c r="O19" s="8">
        <v>0.32228000000000001</v>
      </c>
      <c r="P19" s="8">
        <v>99.606999999999999</v>
      </c>
      <c r="Q19" s="8">
        <f>100-P19</f>
        <v>0.39300000000000068</v>
      </c>
    </row>
    <row r="20" spans="1:18" x14ac:dyDescent="0.2">
      <c r="D20" s="23" t="s">
        <v>24</v>
      </c>
      <c r="E20" s="8">
        <v>74.707599999999999</v>
      </c>
      <c r="F20" s="8">
        <v>0.103007</v>
      </c>
      <c r="G20" s="8">
        <v>13.164400000000001</v>
      </c>
      <c r="H20" s="8">
        <v>1.5720000000000001</v>
      </c>
      <c r="I20" s="8">
        <v>3.5824000000000002E-2</v>
      </c>
      <c r="J20" s="8">
        <v>6.087E-2</v>
      </c>
      <c r="K20" s="8">
        <v>0.65742699999999998</v>
      </c>
      <c r="L20" s="8">
        <v>4.2929000000000004</v>
      </c>
      <c r="M20" s="8">
        <v>5.3553600000000001</v>
      </c>
      <c r="N20" s="8">
        <v>5.1269000000000002E-2</v>
      </c>
      <c r="O20" s="8">
        <v>0.31863399999999997</v>
      </c>
      <c r="P20" s="8">
        <v>100.247</v>
      </c>
      <c r="Q20" s="8">
        <f t="shared" ref="Q20:Q24" si="0">100-P20</f>
        <v>-0.24699999999999989</v>
      </c>
    </row>
    <row r="21" spans="1:18" x14ac:dyDescent="0.2">
      <c r="D21" s="23" t="s">
        <v>25</v>
      </c>
      <c r="E21" s="8">
        <v>74.411000000000001</v>
      </c>
      <c r="F21" s="8">
        <v>9.8263000000000003E-2</v>
      </c>
      <c r="G21" s="8">
        <v>13.120699999999999</v>
      </c>
      <c r="H21" s="8">
        <v>1.5009699999999999</v>
      </c>
      <c r="I21" s="8">
        <v>7.8810000000000005E-2</v>
      </c>
      <c r="J21" s="8">
        <v>3.7016E-2</v>
      </c>
      <c r="K21" s="8">
        <v>0.65535100000000002</v>
      </c>
      <c r="L21" s="8">
        <v>4.3619500000000002</v>
      </c>
      <c r="M21" s="8">
        <v>5.38164</v>
      </c>
      <c r="N21" s="8">
        <v>5.1256000000000003E-2</v>
      </c>
      <c r="O21" s="8">
        <v>0.32312000000000002</v>
      </c>
      <c r="P21" s="8">
        <v>99.947100000000006</v>
      </c>
      <c r="Q21" s="8">
        <f t="shared" si="0"/>
        <v>5.2899999999993952E-2</v>
      </c>
    </row>
    <row r="22" spans="1:18" x14ac:dyDescent="0.2">
      <c r="D22" s="23" t="s">
        <v>26</v>
      </c>
      <c r="E22" s="8">
        <v>74.171000000000006</v>
      </c>
      <c r="F22" s="8">
        <v>7.0389999999999994E-2</v>
      </c>
      <c r="G22" s="8">
        <v>13.2925</v>
      </c>
      <c r="H22" s="8">
        <v>1.4814099999999999</v>
      </c>
      <c r="I22" s="8">
        <v>4.0115999999999999E-2</v>
      </c>
      <c r="J22" s="8">
        <v>4.7192999999999999E-2</v>
      </c>
      <c r="K22" s="8">
        <v>0.69866399999999995</v>
      </c>
      <c r="L22" s="8">
        <v>4.0871899999999997</v>
      </c>
      <c r="M22" s="8">
        <v>5.3136299999999999</v>
      </c>
      <c r="N22" s="8">
        <v>3.2952000000000002E-2</v>
      </c>
      <c r="O22" s="8">
        <v>0.326519</v>
      </c>
      <c r="P22" s="8">
        <v>99.487899999999996</v>
      </c>
      <c r="Q22" s="8">
        <f t="shared" si="0"/>
        <v>0.51210000000000377</v>
      </c>
    </row>
    <row r="23" spans="1:18" x14ac:dyDescent="0.2">
      <c r="D23" s="23" t="s">
        <v>27</v>
      </c>
      <c r="E23" s="8">
        <v>74.8476</v>
      </c>
      <c r="F23" s="8">
        <v>7.1981000000000003E-2</v>
      </c>
      <c r="G23" s="8">
        <v>13.2402</v>
      </c>
      <c r="H23" s="8">
        <v>1.5908</v>
      </c>
      <c r="I23" s="8">
        <v>3.8675000000000001E-2</v>
      </c>
      <c r="J23" s="8">
        <v>3.3838E-2</v>
      </c>
      <c r="K23" s="8">
        <v>0.72248100000000004</v>
      </c>
      <c r="L23" s="8">
        <v>4.4828000000000001</v>
      </c>
      <c r="M23" s="8">
        <v>5.3377400000000002</v>
      </c>
      <c r="N23" s="8">
        <v>0</v>
      </c>
      <c r="O23" s="8">
        <v>0.32870100000000002</v>
      </c>
      <c r="P23" s="8">
        <v>100.621</v>
      </c>
      <c r="Q23" s="8">
        <f t="shared" si="0"/>
        <v>-0.62099999999999511</v>
      </c>
    </row>
    <row r="24" spans="1:18" x14ac:dyDescent="0.2">
      <c r="D24" s="23" t="s">
        <v>28</v>
      </c>
      <c r="E24" s="8">
        <v>74.670199999999994</v>
      </c>
      <c r="F24" s="8">
        <v>0</v>
      </c>
      <c r="G24" s="8">
        <v>12.9902</v>
      </c>
      <c r="H24" s="8">
        <v>1.58836</v>
      </c>
      <c r="I24" s="8">
        <v>5.1570999999999999E-2</v>
      </c>
      <c r="J24" s="8">
        <v>5.3293E-2</v>
      </c>
      <c r="K24" s="8">
        <v>0.68967000000000001</v>
      </c>
      <c r="L24" s="8">
        <v>4.1854899999999997</v>
      </c>
      <c r="M24" s="8">
        <v>5.28132</v>
      </c>
      <c r="N24" s="8">
        <v>0</v>
      </c>
      <c r="O24" s="8">
        <v>0.27895399999999998</v>
      </c>
      <c r="P24" s="8">
        <v>99.726100000000002</v>
      </c>
      <c r="Q24" s="8">
        <f t="shared" si="0"/>
        <v>0.27389999999999759</v>
      </c>
    </row>
    <row r="25" spans="1:18" x14ac:dyDescent="0.2">
      <c r="D25" s="30" t="s">
        <v>20</v>
      </c>
      <c r="E25" s="16">
        <f>AVERAGE(E19:E24)</f>
        <v>74.505566666666667</v>
      </c>
      <c r="F25" s="16">
        <f t="shared" ref="F25:Q25" si="1">AVERAGE(F19:F24)</f>
        <v>6.4352833333333345E-2</v>
      </c>
      <c r="G25" s="16">
        <f>AVERAGE(G19:G24)</f>
        <v>13.175566666666668</v>
      </c>
      <c r="H25" s="16">
        <f t="shared" si="1"/>
        <v>1.5514650000000001</v>
      </c>
      <c r="I25" s="16">
        <f t="shared" si="1"/>
        <v>4.7522666666666664E-2</v>
      </c>
      <c r="J25" s="16">
        <f t="shared" si="1"/>
        <v>4.1848000000000003E-2</v>
      </c>
      <c r="K25" s="16">
        <f t="shared" si="1"/>
        <v>0.69317683333333324</v>
      </c>
      <c r="L25" s="16">
        <f t="shared" si="1"/>
        <v>4.2901116666666672</v>
      </c>
      <c r="M25" s="16">
        <f t="shared" si="1"/>
        <v>5.296686666666667</v>
      </c>
      <c r="N25" s="16">
        <f t="shared" si="1"/>
        <v>2.8077500000000002E-2</v>
      </c>
      <c r="O25" s="16">
        <f t="shared" si="1"/>
        <v>0.31636800000000004</v>
      </c>
      <c r="P25" s="16">
        <f t="shared" si="1"/>
        <v>99.93934999999999</v>
      </c>
      <c r="Q25" s="16">
        <f t="shared" si="1"/>
        <v>6.0650000000000169E-2</v>
      </c>
    </row>
    <row r="26" spans="1:18" x14ac:dyDescent="0.2">
      <c r="D26" s="30" t="s">
        <v>61</v>
      </c>
      <c r="E26" s="16">
        <f>STDEV(E19:E24)</f>
        <v>0.27710778889570281</v>
      </c>
      <c r="F26" s="16">
        <f t="shared" ref="F26:Q26" si="2">STDEV(F19:F24)</f>
        <v>3.8362907363319917E-2</v>
      </c>
      <c r="G26" s="16">
        <f t="shared" si="2"/>
        <v>0.10974826953837</v>
      </c>
      <c r="H26" s="16">
        <f t="shared" si="2"/>
        <v>4.7651534602780689E-2</v>
      </c>
      <c r="I26" s="16">
        <f t="shared" si="2"/>
        <v>1.6246776390000158E-2</v>
      </c>
      <c r="J26" s="16">
        <f t="shared" si="2"/>
        <v>1.507662268546903E-2</v>
      </c>
      <c r="K26" s="16">
        <f t="shared" si="2"/>
        <v>3.2858874268097908E-2</v>
      </c>
      <c r="L26" s="16">
        <f t="shared" si="2"/>
        <v>0.13859186807553578</v>
      </c>
      <c r="M26" s="16">
        <f t="shared" si="2"/>
        <v>9.7529238624459016E-2</v>
      </c>
      <c r="N26" s="16">
        <f t="shared" si="2"/>
        <v>2.3236412405963195E-2</v>
      </c>
      <c r="O26" s="16">
        <f t="shared" si="2"/>
        <v>1.8658130077797198E-2</v>
      </c>
      <c r="P26" s="16">
        <f t="shared" si="2"/>
        <v>0.42874106288061475</v>
      </c>
      <c r="Q26" s="16">
        <f t="shared" si="2"/>
        <v>0.42874106288061475</v>
      </c>
    </row>
    <row r="27" spans="1:18" x14ac:dyDescent="0.2">
      <c r="D27" s="23"/>
    </row>
    <row r="28" spans="1:18" x14ac:dyDescent="0.2">
      <c r="A28" s="1" t="s">
        <v>68</v>
      </c>
      <c r="D28" s="35" t="s">
        <v>29</v>
      </c>
      <c r="E28" s="17">
        <v>75.875889312677145</v>
      </c>
      <c r="F28" s="17">
        <v>0.3049934784134779</v>
      </c>
      <c r="G28" s="17">
        <v>13.423000075325772</v>
      </c>
      <c r="H28" s="17">
        <v>1.7175967325671677</v>
      </c>
      <c r="I28" s="17">
        <v>7.5309444745279064E-2</v>
      </c>
      <c r="J28" s="17">
        <v>0.2983259034559137</v>
      </c>
      <c r="K28" s="17">
        <v>1.4094171095876795</v>
      </c>
      <c r="L28" s="17">
        <v>2.8175206701293458</v>
      </c>
      <c r="M28" s="17">
        <v>3.745185367852029</v>
      </c>
      <c r="N28" s="17">
        <v>8.4883641031861801E-2</v>
      </c>
      <c r="O28" s="17">
        <v>0.32013607181592074</v>
      </c>
      <c r="P28" s="17">
        <v>100</v>
      </c>
      <c r="Q28" s="17">
        <v>4.8379652214969582</v>
      </c>
    </row>
    <row r="29" spans="1:18" x14ac:dyDescent="0.2">
      <c r="D29" s="35" t="s">
        <v>30</v>
      </c>
      <c r="E29" s="17">
        <v>75.417423433220037</v>
      </c>
      <c r="F29" s="17">
        <v>0.35623426265626168</v>
      </c>
      <c r="G29" s="17">
        <v>13.166546377918568</v>
      </c>
      <c r="H29" s="17">
        <v>1.7271324808368682</v>
      </c>
      <c r="I29" s="17">
        <v>7.4839552174455898E-2</v>
      </c>
      <c r="J29" s="17">
        <v>0.30364955846936353</v>
      </c>
      <c r="K29" s="17">
        <v>1.4794605924886681</v>
      </c>
      <c r="L29" s="17">
        <v>3.6143026405928986</v>
      </c>
      <c r="M29" s="17">
        <v>3.6625180349386444</v>
      </c>
      <c r="N29" s="17">
        <v>7.6665569555335114E-3</v>
      </c>
      <c r="O29" s="17">
        <v>0.2456755958911862</v>
      </c>
      <c r="P29" s="17">
        <v>100</v>
      </c>
      <c r="Q29" s="17">
        <v>4.2725431694222209</v>
      </c>
      <c r="R29" s="8"/>
    </row>
    <row r="30" spans="1:18" x14ac:dyDescent="0.2">
      <c r="D30" s="35" t="s">
        <v>31</v>
      </c>
      <c r="E30" s="17">
        <v>75.154040493838778</v>
      </c>
      <c r="F30" s="17">
        <v>0.36489620290137115</v>
      </c>
      <c r="G30" s="17">
        <v>13.260276641299242</v>
      </c>
      <c r="H30" s="17">
        <v>1.6593949467374765</v>
      </c>
      <c r="I30" s="17">
        <v>4.4747670430869163E-2</v>
      </c>
      <c r="J30" s="17">
        <v>0.3103341230702672</v>
      </c>
      <c r="K30" s="17">
        <v>1.398235906355618</v>
      </c>
      <c r="L30" s="17">
        <v>3.9584645812344785</v>
      </c>
      <c r="M30" s="17">
        <v>3.5257110271047711</v>
      </c>
      <c r="N30" s="17">
        <v>0.10315017133163025</v>
      </c>
      <c r="O30" s="17">
        <v>0.28512264339780813</v>
      </c>
      <c r="P30" s="17">
        <v>100</v>
      </c>
      <c r="Q30" s="17">
        <v>3.9167858661533472</v>
      </c>
    </row>
    <row r="31" spans="1:18" x14ac:dyDescent="0.2">
      <c r="D31" s="35" t="s">
        <v>32</v>
      </c>
      <c r="E31" s="17">
        <v>75.402416886429648</v>
      </c>
      <c r="F31" s="17">
        <v>0.28285113449198906</v>
      </c>
      <c r="G31" s="17">
        <v>13.153193813807118</v>
      </c>
      <c r="H31" s="17">
        <v>1.7562737054992867</v>
      </c>
      <c r="I31" s="17">
        <v>6.1536843378668903E-2</v>
      </c>
      <c r="J31" s="17">
        <v>0.26941620850968462</v>
      </c>
      <c r="K31" s="17">
        <v>1.3762338785039421</v>
      </c>
      <c r="L31" s="17">
        <v>3.7975170372893787</v>
      </c>
      <c r="M31" s="17">
        <v>3.6842658321382622</v>
      </c>
      <c r="N31" s="17">
        <v>3.8448216390285228E-2</v>
      </c>
      <c r="O31" s="17">
        <v>0.22974634946983474</v>
      </c>
      <c r="P31" s="17">
        <v>100</v>
      </c>
      <c r="Q31" s="17">
        <v>4.5547402576721652</v>
      </c>
    </row>
    <row r="32" spans="1:18" x14ac:dyDescent="0.2">
      <c r="D32" s="35" t="s">
        <v>33</v>
      </c>
      <c r="E32" s="17">
        <v>74.944332347895852</v>
      </c>
      <c r="F32" s="17">
        <v>0.33992380496180746</v>
      </c>
      <c r="G32" s="17">
        <v>13.179542617182094</v>
      </c>
      <c r="H32" s="17">
        <v>1.6904266083109594</v>
      </c>
      <c r="I32" s="17">
        <v>0</v>
      </c>
      <c r="J32" s="17">
        <v>0.28387555546152859</v>
      </c>
      <c r="K32" s="17">
        <v>1.3992761942014893</v>
      </c>
      <c r="L32" s="17">
        <v>4.2043938512069428</v>
      </c>
      <c r="M32" s="17">
        <v>3.7532958781031458</v>
      </c>
      <c r="N32" s="17">
        <v>0</v>
      </c>
      <c r="O32" s="17">
        <v>0.26468228923175552</v>
      </c>
      <c r="P32" s="17">
        <v>100</v>
      </c>
      <c r="Q32" s="17">
        <v>3.8881669270830912</v>
      </c>
    </row>
    <row r="33" spans="1:17" x14ac:dyDescent="0.2">
      <c r="D33" s="35" t="s">
        <v>34</v>
      </c>
      <c r="E33" s="17">
        <v>75.304808249959095</v>
      </c>
      <c r="F33" s="17">
        <v>0.3245955354671744</v>
      </c>
      <c r="G33" s="17">
        <v>13.098631473351416</v>
      </c>
      <c r="H33" s="17">
        <v>1.7914821284689262</v>
      </c>
      <c r="I33" s="17">
        <v>4.3430059826179528E-2</v>
      </c>
      <c r="J33" s="17">
        <v>0.23910678136215463</v>
      </c>
      <c r="K33" s="17">
        <v>1.4638491019342457</v>
      </c>
      <c r="L33" s="17">
        <v>3.6786462708124246</v>
      </c>
      <c r="M33" s="17">
        <v>3.779755751892913</v>
      </c>
      <c r="N33" s="17">
        <v>1.9165669722571069E-2</v>
      </c>
      <c r="O33" s="17">
        <v>0.33121509187822601</v>
      </c>
      <c r="P33" s="17">
        <v>100</v>
      </c>
      <c r="Q33" s="17">
        <v>4.3289367633940827</v>
      </c>
    </row>
    <row r="34" spans="1:17" x14ac:dyDescent="0.2">
      <c r="D34" s="36" t="s">
        <v>20</v>
      </c>
      <c r="E34" s="16">
        <v>75.217185828094856</v>
      </c>
      <c r="F34" s="16">
        <v>0.31579015830699025</v>
      </c>
      <c r="G34" s="16">
        <v>13.143789301446875</v>
      </c>
      <c r="H34" s="16">
        <v>1.7460608140930576</v>
      </c>
      <c r="I34" s="16">
        <v>3.4988967734949479E-2</v>
      </c>
      <c r="J34" s="16">
        <v>0.26413284844445589</v>
      </c>
      <c r="K34" s="16">
        <v>1.4131197248798923</v>
      </c>
      <c r="L34" s="16">
        <v>3.8935190531029158</v>
      </c>
      <c r="M34" s="16">
        <v>3.7391058207114405</v>
      </c>
      <c r="N34" s="16">
        <v>1.9204628704285433E-2</v>
      </c>
      <c r="O34" s="16">
        <v>0.27521457685993878</v>
      </c>
      <c r="P34" s="16">
        <v>100.00025003240306</v>
      </c>
      <c r="Q34" s="16">
        <v>4.25728131604978</v>
      </c>
    </row>
    <row r="35" spans="1:17" x14ac:dyDescent="0.2">
      <c r="D35" s="36" t="s">
        <v>61</v>
      </c>
      <c r="E35" s="16">
        <v>0.24128536574136678</v>
      </c>
      <c r="F35" s="16">
        <v>2.953766119446391E-2</v>
      </c>
      <c r="G35" s="16">
        <v>4.1267262309821383E-2</v>
      </c>
      <c r="H35" s="16">
        <v>5.1296022280054851E-2</v>
      </c>
      <c r="I35" s="16">
        <v>3.1624907905354861E-2</v>
      </c>
      <c r="J35" s="16">
        <v>2.2847236239298924E-2</v>
      </c>
      <c r="K35" s="16">
        <v>4.541849128293915E-2</v>
      </c>
      <c r="L35" s="16">
        <v>0.27570803371115155</v>
      </c>
      <c r="M35" s="16">
        <v>4.9301110436503703E-2</v>
      </c>
      <c r="N35" s="16">
        <v>1.922413780251904E-2</v>
      </c>
      <c r="O35" s="16">
        <v>5.1547776222618885E-2</v>
      </c>
      <c r="P35" s="16">
        <v>4.7290024346168767E-5</v>
      </c>
      <c r="Q35" s="16">
        <v>0.3390145699136497</v>
      </c>
    </row>
    <row r="36" spans="1:17" x14ac:dyDescent="0.2">
      <c r="D36" s="23"/>
    </row>
    <row r="37" spans="1:17" x14ac:dyDescent="0.2">
      <c r="A37" s="1" t="s">
        <v>68</v>
      </c>
      <c r="D37" s="23" t="s">
        <v>255</v>
      </c>
      <c r="E37" s="8">
        <v>75.525461130688214</v>
      </c>
      <c r="F37" s="8">
        <v>0.37434210701935089</v>
      </c>
      <c r="G37" s="8">
        <v>12.747868063095233</v>
      </c>
      <c r="H37" s="8">
        <v>1.8550443729503663</v>
      </c>
      <c r="I37" s="8">
        <v>7.7433634754681194E-2</v>
      </c>
      <c r="J37" s="8">
        <v>0.33387772349694617</v>
      </c>
      <c r="K37" s="8">
        <v>1.4034813231503929</v>
      </c>
      <c r="L37" s="8">
        <v>4.538317641899325</v>
      </c>
      <c r="M37" s="8">
        <v>2.9076150265241529</v>
      </c>
      <c r="N37" s="8">
        <v>0.10121598359532046</v>
      </c>
      <c r="O37" s="8">
        <v>0.17489629281773258</v>
      </c>
      <c r="P37" s="8">
        <v>100</v>
      </c>
      <c r="Q37" s="8">
        <v>5.4971392834221291</v>
      </c>
    </row>
    <row r="38" spans="1:17" x14ac:dyDescent="0.2">
      <c r="D38" s="23" t="s">
        <v>314</v>
      </c>
      <c r="E38" s="8">
        <v>76.947016612565804</v>
      </c>
      <c r="F38" s="8">
        <v>0.30124142624071315</v>
      </c>
      <c r="G38" s="8">
        <v>12.293174666617569</v>
      </c>
      <c r="H38" s="8">
        <v>1.5137223638003845</v>
      </c>
      <c r="I38" s="8">
        <v>6.3395853293031934E-2</v>
      </c>
      <c r="J38" s="8">
        <v>0.22474859950492054</v>
      </c>
      <c r="K38" s="8">
        <v>1.1248667706231923</v>
      </c>
      <c r="L38" s="8">
        <v>4.2890104687166994</v>
      </c>
      <c r="M38" s="8">
        <v>3.0584712719205283</v>
      </c>
      <c r="N38" s="8">
        <v>2.2185488377605193E-2</v>
      </c>
      <c r="O38" s="8">
        <v>0.20957364919860691</v>
      </c>
      <c r="P38" s="8">
        <v>100</v>
      </c>
      <c r="Q38" s="8">
        <v>0.33575270617160413</v>
      </c>
    </row>
    <row r="39" spans="1:17" x14ac:dyDescent="0.2">
      <c r="D39" s="23" t="s">
        <v>318</v>
      </c>
      <c r="E39" s="8">
        <v>77.761057965270737</v>
      </c>
      <c r="F39" s="8">
        <v>0.3220817594011483</v>
      </c>
      <c r="G39" s="8">
        <v>12.255854811455306</v>
      </c>
      <c r="H39" s="8">
        <v>1.2139153427466589</v>
      </c>
      <c r="I39" s="8">
        <v>5.9083841824924245E-2</v>
      </c>
      <c r="J39" s="8">
        <v>0.20170558742607445</v>
      </c>
      <c r="K39" s="8">
        <v>1.1141667931962342</v>
      </c>
      <c r="L39" s="8">
        <v>3.8699464453649002</v>
      </c>
      <c r="M39" s="8">
        <v>3.0354480912317605</v>
      </c>
      <c r="N39" s="8">
        <v>0</v>
      </c>
      <c r="O39" s="8">
        <v>0.21535924762681979</v>
      </c>
      <c r="P39" s="8">
        <v>100</v>
      </c>
      <c r="Q39" s="8">
        <v>0.4296298566305552</v>
      </c>
    </row>
    <row r="40" spans="1:17" x14ac:dyDescent="0.2">
      <c r="D40" s="23" t="s">
        <v>317</v>
      </c>
      <c r="E40" s="8">
        <v>77.784772779419214</v>
      </c>
      <c r="F40" s="8">
        <v>0.21660541067928268</v>
      </c>
      <c r="G40" s="8">
        <v>12.218581959664739</v>
      </c>
      <c r="H40" s="8">
        <v>1.1574049909476471</v>
      </c>
      <c r="I40" s="8">
        <v>5.3107078618944897E-2</v>
      </c>
      <c r="J40" s="8">
        <v>0.11960028413207792</v>
      </c>
      <c r="K40" s="8">
        <v>0.68723792903472403</v>
      </c>
      <c r="L40" s="8">
        <v>4.494867821227543</v>
      </c>
      <c r="M40" s="8">
        <v>3.0108647654657914</v>
      </c>
      <c r="N40" s="8">
        <v>8.1192620262340545E-2</v>
      </c>
      <c r="O40" s="8">
        <v>0.22723283229265254</v>
      </c>
      <c r="P40" s="8">
        <v>100</v>
      </c>
      <c r="Q40" s="8">
        <v>9.8063422615609852E-2</v>
      </c>
    </row>
    <row r="41" spans="1:17" x14ac:dyDescent="0.2">
      <c r="D41" s="23" t="s">
        <v>316</v>
      </c>
      <c r="E41" s="8">
        <v>77.860268768012673</v>
      </c>
      <c r="F41" s="8">
        <v>0.26035420127496062</v>
      </c>
      <c r="G41" s="8">
        <v>11.97153453269129</v>
      </c>
      <c r="H41" s="8">
        <v>1.4165456034713193</v>
      </c>
      <c r="I41" s="8">
        <v>3.3176324877018021E-2</v>
      </c>
      <c r="J41" s="8">
        <v>0.19164230150087352</v>
      </c>
      <c r="K41" s="8">
        <v>1.0123455350317965</v>
      </c>
      <c r="L41" s="8">
        <v>4.1431185827397004</v>
      </c>
      <c r="M41" s="8">
        <v>2.9046833553816414</v>
      </c>
      <c r="N41" s="8">
        <v>4.8194670912585995E-2</v>
      </c>
      <c r="O41" s="8">
        <v>0.20420384966816155</v>
      </c>
      <c r="P41" s="8">
        <v>100</v>
      </c>
      <c r="Q41" s="8">
        <v>0.56162000374881416</v>
      </c>
    </row>
    <row r="42" spans="1:17" x14ac:dyDescent="0.2">
      <c r="D42" s="23" t="s">
        <v>315</v>
      </c>
      <c r="E42" s="8">
        <v>77.893458561742023</v>
      </c>
      <c r="F42" s="8">
        <v>0.1584856612825272</v>
      </c>
      <c r="G42" s="8">
        <v>12.343753549698775</v>
      </c>
      <c r="H42" s="8">
        <v>1.0899035398189543</v>
      </c>
      <c r="I42" s="8">
        <v>5.028291687754903E-2</v>
      </c>
      <c r="J42" s="8">
        <v>9.5578974134032324E-2</v>
      </c>
      <c r="K42" s="8">
        <v>0.66976837274698853</v>
      </c>
      <c r="L42" s="8">
        <v>4.2756892048663113</v>
      </c>
      <c r="M42" s="8">
        <v>3.0862905584760161</v>
      </c>
      <c r="N42" s="8">
        <v>0.14771232316878596</v>
      </c>
      <c r="O42" s="8">
        <v>0.24460331274797523</v>
      </c>
      <c r="P42" s="8">
        <v>100</v>
      </c>
      <c r="Q42" s="8">
        <v>7.7395823404202702E-2</v>
      </c>
    </row>
    <row r="43" spans="1:17" x14ac:dyDescent="0.2">
      <c r="D43" s="23" t="s">
        <v>262</v>
      </c>
      <c r="E43" s="8">
        <v>77.920961469170564</v>
      </c>
      <c r="F43" s="8">
        <v>0.12364033362376162</v>
      </c>
      <c r="G43" s="8">
        <v>12.073359026819086</v>
      </c>
      <c r="H43" s="8">
        <v>1.1763233251511276</v>
      </c>
      <c r="I43" s="8">
        <v>5.0155786774692478E-2</v>
      </c>
      <c r="J43" s="8">
        <v>0.10338091099107723</v>
      </c>
      <c r="K43" s="8">
        <v>0.73761056546448767</v>
      </c>
      <c r="L43" s="8">
        <v>4.3216311079416316</v>
      </c>
      <c r="M43" s="8">
        <v>3.2760898311932318</v>
      </c>
      <c r="N43" s="8">
        <v>4.0491912502637013E-2</v>
      </c>
      <c r="O43" s="8">
        <v>0.22794294360610423</v>
      </c>
      <c r="P43" s="8">
        <v>100</v>
      </c>
      <c r="Q43" s="8">
        <v>-0.24964861157496898</v>
      </c>
    </row>
    <row r="44" spans="1:17" x14ac:dyDescent="0.2">
      <c r="D44" s="23" t="s">
        <v>253</v>
      </c>
      <c r="E44" s="8">
        <v>78.051401195379157</v>
      </c>
      <c r="F44" s="8">
        <v>0.15220082014894123</v>
      </c>
      <c r="G44" s="8">
        <v>12.064866380543535</v>
      </c>
      <c r="H44" s="8">
        <v>1.1723761987640766</v>
      </c>
      <c r="I44" s="8">
        <v>3.5944075580763346E-2</v>
      </c>
      <c r="J44" s="8">
        <v>0.11577131137992132</v>
      </c>
      <c r="K44" s="8">
        <v>0.65048948030235909</v>
      </c>
      <c r="L44" s="8">
        <v>4.354525868364119</v>
      </c>
      <c r="M44" s="8">
        <v>3.2219175896004058</v>
      </c>
      <c r="N44" s="8">
        <v>1.8476487948899847E-2</v>
      </c>
      <c r="O44" s="8">
        <v>0.20929176666060145</v>
      </c>
      <c r="P44" s="8">
        <v>100</v>
      </c>
      <c r="Q44" s="8">
        <v>8.9237461932412998E-2</v>
      </c>
    </row>
    <row r="45" spans="1:17" x14ac:dyDescent="0.2">
      <c r="D45" s="23" t="s">
        <v>312</v>
      </c>
      <c r="E45" s="8">
        <v>78.053046015045041</v>
      </c>
      <c r="F45" s="8">
        <v>0.18499658275090961</v>
      </c>
      <c r="G45" s="8">
        <v>12.080842596697458</v>
      </c>
      <c r="H45" s="8">
        <v>1.1195058023394866</v>
      </c>
      <c r="I45" s="8">
        <v>3.4435187534943221E-2</v>
      </c>
      <c r="J45" s="8">
        <v>9.8741249090056701E-2</v>
      </c>
      <c r="K45" s="8">
        <v>0.70139849746007066</v>
      </c>
      <c r="L45" s="8">
        <v>4.2698313608601151</v>
      </c>
      <c r="M45" s="8">
        <v>3.2765236383206888</v>
      </c>
      <c r="N45" s="8">
        <v>0</v>
      </c>
      <c r="O45" s="8">
        <v>0.23390208296556864</v>
      </c>
      <c r="P45" s="8">
        <v>100</v>
      </c>
      <c r="Q45" s="8">
        <v>-8.0767572497052242E-2</v>
      </c>
    </row>
    <row r="46" spans="1:17" x14ac:dyDescent="0.2">
      <c r="D46" s="23" t="s">
        <v>256</v>
      </c>
      <c r="E46" s="8">
        <v>78.084535074660295</v>
      </c>
      <c r="F46" s="8">
        <v>0.17436000667302903</v>
      </c>
      <c r="G46" s="8">
        <v>12.202655891045779</v>
      </c>
      <c r="H46" s="8">
        <v>1.1857320567768801</v>
      </c>
      <c r="I46" s="8">
        <v>5.6583495644655465E-2</v>
      </c>
      <c r="J46" s="8">
        <v>0.12763876278991237</v>
      </c>
      <c r="K46" s="8">
        <v>0.68788978842441528</v>
      </c>
      <c r="L46" s="8">
        <v>4.2743021349062129</v>
      </c>
      <c r="M46" s="8">
        <v>3.0517248418160854</v>
      </c>
      <c r="N46" s="8">
        <v>0</v>
      </c>
      <c r="O46" s="8">
        <v>0.19972801640018573</v>
      </c>
      <c r="P46" s="8">
        <v>100</v>
      </c>
      <c r="Q46" s="8">
        <v>0.96582163832270851</v>
      </c>
    </row>
    <row r="47" spans="1:17" x14ac:dyDescent="0.2">
      <c r="D47" s="23" t="s">
        <v>321</v>
      </c>
      <c r="E47" s="8">
        <v>78.092927442977086</v>
      </c>
      <c r="F47" s="8">
        <v>0.2266464065999359</v>
      </c>
      <c r="G47" s="8">
        <v>12.039985680712123</v>
      </c>
      <c r="H47" s="8">
        <v>1.3207603275896946</v>
      </c>
      <c r="I47" s="8">
        <v>4.4817125906666845E-2</v>
      </c>
      <c r="J47" s="8">
        <v>0.18500581328434665</v>
      </c>
      <c r="K47" s="8">
        <v>0.91775891854354996</v>
      </c>
      <c r="L47" s="8">
        <v>3.9185633483144682</v>
      </c>
      <c r="M47" s="8">
        <v>3.0507639208475861</v>
      </c>
      <c r="N47" s="8">
        <v>3.7160997069605656E-2</v>
      </c>
      <c r="O47" s="8">
        <v>0.21386066136421189</v>
      </c>
      <c r="P47" s="8">
        <v>100</v>
      </c>
      <c r="Q47" s="8">
        <v>0.7723072367194419</v>
      </c>
    </row>
    <row r="48" spans="1:17" x14ac:dyDescent="0.2">
      <c r="D48" s="23" t="s">
        <v>320</v>
      </c>
      <c r="E48" s="8">
        <v>78.136778725698093</v>
      </c>
      <c r="F48" s="8">
        <v>0.16054828257939538</v>
      </c>
      <c r="G48" s="8">
        <v>12.011830685328476</v>
      </c>
      <c r="H48" s="8">
        <v>1.1220432412411516</v>
      </c>
      <c r="I48" s="8">
        <v>6.5092482740442173E-2</v>
      </c>
      <c r="J48" s="8">
        <v>0.1504594418113904</v>
      </c>
      <c r="K48" s="8">
        <v>1.0263373881830835</v>
      </c>
      <c r="L48" s="8">
        <v>4.0095630373455187</v>
      </c>
      <c r="M48" s="8">
        <v>3.1108027560834253</v>
      </c>
      <c r="N48" s="8">
        <v>0</v>
      </c>
      <c r="O48" s="8">
        <v>0.26680174340021595</v>
      </c>
      <c r="P48" s="8">
        <v>100</v>
      </c>
      <c r="Q48" s="8">
        <v>0.82111285042458348</v>
      </c>
    </row>
    <row r="49" spans="1:17" x14ac:dyDescent="0.2">
      <c r="D49" s="23" t="s">
        <v>257</v>
      </c>
      <c r="E49" s="8">
        <v>78.146826232905141</v>
      </c>
      <c r="F49" s="8">
        <v>0.1912355495688815</v>
      </c>
      <c r="G49" s="8">
        <v>12.004483734542548</v>
      </c>
      <c r="H49" s="8">
        <v>1.1291682344988134</v>
      </c>
      <c r="I49" s="8">
        <v>3.3205451819290507E-2</v>
      </c>
      <c r="J49" s="8">
        <v>7.6273968820236113E-2</v>
      </c>
      <c r="K49" s="8">
        <v>0.74882830500757558</v>
      </c>
      <c r="L49" s="8">
        <v>4.2201881536481709</v>
      </c>
      <c r="M49" s="8">
        <v>3.298543640738985</v>
      </c>
      <c r="N49" s="8">
        <v>0</v>
      </c>
      <c r="O49" s="8">
        <v>0.19518941687631963</v>
      </c>
      <c r="P49" s="8">
        <v>100</v>
      </c>
      <c r="Q49" s="8">
        <v>0.47718615651679386</v>
      </c>
    </row>
    <row r="50" spans="1:17" x14ac:dyDescent="0.2">
      <c r="D50" s="23" t="s">
        <v>311</v>
      </c>
      <c r="E50" s="8">
        <v>78.155929751215226</v>
      </c>
      <c r="F50" s="8">
        <v>0.23589841340422341</v>
      </c>
      <c r="G50" s="8">
        <v>11.928146241151675</v>
      </c>
      <c r="H50" s="8">
        <v>1.2989820564132364</v>
      </c>
      <c r="I50" s="8">
        <v>4.1936085388901347E-2</v>
      </c>
      <c r="J50" s="8">
        <v>0.18165319189946569</v>
      </c>
      <c r="K50" s="8">
        <v>0.93579957995060503</v>
      </c>
      <c r="L50" s="8">
        <v>4.0300105599053495</v>
      </c>
      <c r="M50" s="8">
        <v>3.0482641924145284</v>
      </c>
      <c r="N50" s="8">
        <v>0</v>
      </c>
      <c r="O50" s="8">
        <v>0.18516389976130049</v>
      </c>
      <c r="P50" s="8">
        <v>100</v>
      </c>
      <c r="Q50" s="8">
        <v>0.73227003916444744</v>
      </c>
    </row>
    <row r="51" spans="1:17" x14ac:dyDescent="0.2">
      <c r="D51" s="23" t="s">
        <v>322</v>
      </c>
      <c r="E51" s="8">
        <v>78.194927046875989</v>
      </c>
      <c r="F51" s="8">
        <v>0.14952153119324291</v>
      </c>
      <c r="G51" s="8">
        <v>11.84578202782642</v>
      </c>
      <c r="H51" s="8">
        <v>1.1125236163229706</v>
      </c>
      <c r="I51" s="8">
        <v>1.2951393692994494E-2</v>
      </c>
      <c r="J51" s="8">
        <v>0.11357437652752185</v>
      </c>
      <c r="K51" s="8">
        <v>0.71791832142580359</v>
      </c>
      <c r="L51" s="8">
        <v>4.6213706114461246</v>
      </c>
      <c r="M51" s="8">
        <v>3.070790317724764</v>
      </c>
      <c r="N51" s="8">
        <v>3.3299576853780107E-2</v>
      </c>
      <c r="O51" s="8">
        <v>0.16373310380694178</v>
      </c>
      <c r="P51" s="8">
        <v>100</v>
      </c>
      <c r="Q51" s="8">
        <v>0.17290566193356938</v>
      </c>
    </row>
    <row r="52" spans="1:17" x14ac:dyDescent="0.2">
      <c r="D52" s="23" t="s">
        <v>313</v>
      </c>
      <c r="E52" s="8">
        <v>78.232148845175516</v>
      </c>
      <c r="F52" s="8">
        <v>0.15977925139530563</v>
      </c>
      <c r="G52" s="8">
        <v>12.091638969564848</v>
      </c>
      <c r="H52" s="8">
        <v>1.1795552454108733</v>
      </c>
      <c r="I52" s="8">
        <v>9.6600736577627619E-2</v>
      </c>
      <c r="J52" s="8">
        <v>0.1022954806164206</v>
      </c>
      <c r="K52" s="8">
        <v>0.70103303481569723</v>
      </c>
      <c r="L52" s="8">
        <v>4.1184348713989776</v>
      </c>
      <c r="M52" s="8">
        <v>3.1506280915794131</v>
      </c>
      <c r="N52" s="8">
        <v>0</v>
      </c>
      <c r="O52" s="8">
        <v>0.21677992307671984</v>
      </c>
      <c r="P52" s="8">
        <v>100</v>
      </c>
      <c r="Q52" s="8">
        <v>0.43450660160372934</v>
      </c>
    </row>
    <row r="53" spans="1:17" x14ac:dyDescent="0.2">
      <c r="D53" s="23" t="s">
        <v>259</v>
      </c>
      <c r="E53" s="8">
        <v>78.249375161033853</v>
      </c>
      <c r="F53" s="8">
        <v>0.16970809448776764</v>
      </c>
      <c r="G53" s="8">
        <v>11.94842360752086</v>
      </c>
      <c r="H53" s="8">
        <v>1.0756578965399362</v>
      </c>
      <c r="I53" s="8">
        <v>6.7927499412471462E-2</v>
      </c>
      <c r="J53" s="8">
        <v>9.5750955655245329E-2</v>
      </c>
      <c r="K53" s="8">
        <v>0.68689603987818559</v>
      </c>
      <c r="L53" s="8">
        <v>4.4379413623344268</v>
      </c>
      <c r="M53" s="8">
        <v>3.1009118868065957</v>
      </c>
      <c r="N53" s="8">
        <v>0</v>
      </c>
      <c r="O53" s="8">
        <v>0.21617675704529668</v>
      </c>
      <c r="P53" s="8">
        <v>100</v>
      </c>
      <c r="Q53" s="8">
        <v>0.591070503027737</v>
      </c>
    </row>
    <row r="54" spans="1:17" x14ac:dyDescent="0.2">
      <c r="D54" s="23" t="s">
        <v>254</v>
      </c>
      <c r="E54" s="8">
        <v>78.290850815340278</v>
      </c>
      <c r="F54" s="8">
        <v>0.1765489277367833</v>
      </c>
      <c r="G54" s="8">
        <v>12.163704309265338</v>
      </c>
      <c r="H54" s="8">
        <v>1.1581874577321745</v>
      </c>
      <c r="I54" s="8">
        <v>7.6887744049328965E-2</v>
      </c>
      <c r="J54" s="8">
        <v>0.13680116347056903</v>
      </c>
      <c r="K54" s="8">
        <v>0.69799981685739154</v>
      </c>
      <c r="L54" s="8">
        <v>3.9268105571703784</v>
      </c>
      <c r="M54" s="8">
        <v>3.1731321726441024</v>
      </c>
      <c r="N54" s="8">
        <v>3.7280313520300451E-2</v>
      </c>
      <c r="O54" s="8">
        <v>0.20892159883650802</v>
      </c>
      <c r="P54" s="8">
        <v>100</v>
      </c>
      <c r="Q54" s="8">
        <v>0.95040381059969548</v>
      </c>
    </row>
    <row r="55" spans="1:17" x14ac:dyDescent="0.2">
      <c r="D55" s="23" t="s">
        <v>263</v>
      </c>
      <c r="E55" s="8">
        <v>78.321963714941148</v>
      </c>
      <c r="F55" s="8">
        <v>0.145293208590733</v>
      </c>
      <c r="G55" s="8">
        <v>12.088836408942308</v>
      </c>
      <c r="H55" s="8">
        <v>1.1550612717493631</v>
      </c>
      <c r="I55" s="8">
        <v>4.1958287699314298E-2</v>
      </c>
      <c r="J55" s="8">
        <v>0.11874855989049242</v>
      </c>
      <c r="K55" s="8">
        <v>0.70352834890781013</v>
      </c>
      <c r="L55" s="8">
        <v>4.0927455907104742</v>
      </c>
      <c r="M55" s="8">
        <v>3.129679796386478</v>
      </c>
      <c r="N55" s="8">
        <v>1.8595653713718855E-2</v>
      </c>
      <c r="O55" s="8">
        <v>0.2371426675089737</v>
      </c>
      <c r="P55" s="8">
        <v>100</v>
      </c>
      <c r="Q55" s="8">
        <v>0.69184829799202419</v>
      </c>
    </row>
    <row r="56" spans="1:17" x14ac:dyDescent="0.2">
      <c r="D56" s="36" t="s">
        <v>20</v>
      </c>
      <c r="E56" s="16">
        <f t="shared" ref="E56:Q56" si="3">AVERAGE(E37:E55)</f>
        <v>77.879142489900843</v>
      </c>
      <c r="F56" s="16">
        <f t="shared" si="3"/>
        <v>0.20439410392899438</v>
      </c>
      <c r="G56" s="16">
        <f t="shared" si="3"/>
        <v>12.125017007535968</v>
      </c>
      <c r="H56" s="16">
        <f t="shared" si="3"/>
        <v>1.2343375233823748</v>
      </c>
      <c r="I56" s="16">
        <f t="shared" si="3"/>
        <v>5.2367105424644289E-2</v>
      </c>
      <c r="J56" s="16">
        <f t="shared" si="3"/>
        <v>0.14596045560113582</v>
      </c>
      <c r="K56" s="16">
        <f t="shared" si="3"/>
        <v>0.8381765688949665</v>
      </c>
      <c r="L56" s="16">
        <f t="shared" si="3"/>
        <v>4.2214141436400254</v>
      </c>
      <c r="M56" s="16">
        <f t="shared" si="3"/>
        <v>3.1033234602713775</v>
      </c>
      <c r="N56" s="16">
        <f t="shared" si="3"/>
        <v>3.0831896206609481E-2</v>
      </c>
      <c r="O56" s="16">
        <f t="shared" si="3"/>
        <v>0.21318440871899455</v>
      </c>
      <c r="P56" s="16">
        <f t="shared" si="3"/>
        <v>100</v>
      </c>
      <c r="Q56" s="16">
        <f t="shared" si="3"/>
        <v>0.70357132474515982</v>
      </c>
    </row>
    <row r="57" spans="1:17" x14ac:dyDescent="0.2">
      <c r="D57" s="36" t="s">
        <v>61</v>
      </c>
      <c r="E57" s="16">
        <f t="shared" ref="E57:Q57" si="4">STDEV(E37:E55)</f>
        <v>0.64649834545101481</v>
      </c>
      <c r="F57" s="16">
        <f t="shared" si="4"/>
        <v>6.7527825494883897E-2</v>
      </c>
      <c r="G57" s="16">
        <f t="shared" si="4"/>
        <v>0.19918818705064312</v>
      </c>
      <c r="H57" s="16">
        <f t="shared" si="4"/>
        <v>0.18810518615507327</v>
      </c>
      <c r="I57" s="16">
        <f t="shared" si="4"/>
        <v>1.9634224278337133E-2</v>
      </c>
      <c r="J57" s="16">
        <f t="shared" si="4"/>
        <v>6.2009647482056146E-2</v>
      </c>
      <c r="K57" s="16">
        <f t="shared" si="4"/>
        <v>0.21071720806143504</v>
      </c>
      <c r="L57" s="16">
        <f t="shared" si="4"/>
        <v>0.21593726006257405</v>
      </c>
      <c r="M57" s="16">
        <f t="shared" si="4"/>
        <v>0.11121087357312746</v>
      </c>
      <c r="N57" s="16">
        <f t="shared" si="4"/>
        <v>4.0562473150121479E-2</v>
      </c>
      <c r="O57" s="16">
        <f t="shared" si="4"/>
        <v>2.430808590905675E-2</v>
      </c>
      <c r="P57" s="16">
        <f t="shared" si="4"/>
        <v>0</v>
      </c>
      <c r="Q57" s="16">
        <f t="shared" si="4"/>
        <v>1.2118820894360374</v>
      </c>
    </row>
    <row r="58" spans="1:17" x14ac:dyDescent="0.2">
      <c r="D58" s="23"/>
    </row>
    <row r="59" spans="1:17" x14ac:dyDescent="0.2">
      <c r="A59" s="1" t="s">
        <v>68</v>
      </c>
      <c r="B59" s="5">
        <v>255.036</v>
      </c>
      <c r="C59" s="5">
        <v>255.05600000000001</v>
      </c>
      <c r="D59" s="28" t="s">
        <v>389</v>
      </c>
      <c r="E59" s="17">
        <v>77.517051594771942</v>
      </c>
      <c r="F59" s="17">
        <v>0.24767016359468932</v>
      </c>
      <c r="G59" s="17">
        <v>12.524967201802575</v>
      </c>
      <c r="H59" s="17">
        <v>1.1312993856747529</v>
      </c>
      <c r="I59" s="17">
        <v>3.4746124181202431E-2</v>
      </c>
      <c r="J59" s="17">
        <v>0.15987690613794583</v>
      </c>
      <c r="K59" s="17">
        <v>0.98379309116752078</v>
      </c>
      <c r="L59" s="17">
        <v>4.1699076926144141</v>
      </c>
      <c r="M59" s="17">
        <v>3.0987198720315852</v>
      </c>
      <c r="N59" s="17">
        <v>0</v>
      </c>
      <c r="O59" s="17">
        <v>0.17044804616314957</v>
      </c>
      <c r="P59" s="17">
        <v>100</v>
      </c>
      <c r="Q59" s="17">
        <v>0.74864229416169792</v>
      </c>
    </row>
    <row r="60" spans="1:17" x14ac:dyDescent="0.2">
      <c r="D60" s="28" t="s">
        <v>390</v>
      </c>
      <c r="E60" s="17">
        <v>77.789955704042825</v>
      </c>
      <c r="F60" s="17">
        <v>0.21325865794831006</v>
      </c>
      <c r="G60" s="17">
        <v>12.056200070344531</v>
      </c>
      <c r="H60" s="17">
        <v>1.0833826568214446</v>
      </c>
      <c r="I60" s="17">
        <v>3.1711328329127653E-2</v>
      </c>
      <c r="J60" s="17">
        <v>0.11573747536531376</v>
      </c>
      <c r="K60" s="17">
        <v>0.65249599732058983</v>
      </c>
      <c r="L60" s="17">
        <v>4.7627649971446457</v>
      </c>
      <c r="M60" s="17">
        <v>3.0603181522402734</v>
      </c>
      <c r="N60" s="17">
        <v>3.7016100474608529E-2</v>
      </c>
      <c r="O60" s="17">
        <v>0.25463708380658651</v>
      </c>
      <c r="P60" s="17">
        <v>100</v>
      </c>
      <c r="Q60" s="17">
        <v>0.25961804019428314</v>
      </c>
    </row>
    <row r="61" spans="1:17" x14ac:dyDescent="0.2">
      <c r="D61" s="28" t="s">
        <v>391</v>
      </c>
      <c r="E61" s="17">
        <v>77.850099969035981</v>
      </c>
      <c r="F61" s="17">
        <v>0.16722264499664022</v>
      </c>
      <c r="G61" s="17">
        <v>11.96457931007895</v>
      </c>
      <c r="H61" s="17">
        <v>1.2170673600354041</v>
      </c>
      <c r="I61" s="17">
        <v>5.7528233313601886E-2</v>
      </c>
      <c r="J61" s="17">
        <v>0.13341277157793185</v>
      </c>
      <c r="K61" s="17">
        <v>0.69757261926695313</v>
      </c>
      <c r="L61" s="17">
        <v>4.6257708305984089</v>
      </c>
      <c r="M61" s="17">
        <v>3.0075340407078519</v>
      </c>
      <c r="N61" s="17">
        <v>8.494507986496197E-2</v>
      </c>
      <c r="O61" s="17">
        <v>0.25067731981925345</v>
      </c>
      <c r="P61" s="17">
        <v>100</v>
      </c>
      <c r="Q61" s="17">
        <v>9.4272517124338151E-2</v>
      </c>
    </row>
    <row r="62" spans="1:17" x14ac:dyDescent="0.2">
      <c r="D62" s="28" t="s">
        <v>392</v>
      </c>
      <c r="E62" s="17">
        <v>77.861178853616636</v>
      </c>
      <c r="F62" s="17">
        <v>0.10683912955138186</v>
      </c>
      <c r="G62" s="17">
        <v>12.224333672735268</v>
      </c>
      <c r="H62" s="17">
        <v>1.0288688626798583</v>
      </c>
      <c r="I62" s="17">
        <v>2.3095764752653642E-2</v>
      </c>
      <c r="J62" s="17">
        <v>8.4661369973067238E-2</v>
      </c>
      <c r="K62" s="17">
        <v>0.76910955609495713</v>
      </c>
      <c r="L62" s="17">
        <v>4.5410220725090316</v>
      </c>
      <c r="M62" s="17">
        <v>3.1311624341639281</v>
      </c>
      <c r="N62" s="17">
        <v>7.4164573389897709E-2</v>
      </c>
      <c r="O62" s="17">
        <v>0.20096880891010971</v>
      </c>
      <c r="P62" s="17">
        <v>100</v>
      </c>
      <c r="Q62" s="17">
        <v>0.43629104181131595</v>
      </c>
    </row>
    <row r="63" spans="1:17" x14ac:dyDescent="0.2">
      <c r="D63" s="28" t="s">
        <v>393</v>
      </c>
      <c r="E63" s="17">
        <v>77.871542331781825</v>
      </c>
      <c r="F63" s="17">
        <v>0.16672028347587547</v>
      </c>
      <c r="G63" s="17">
        <v>11.961127572114236</v>
      </c>
      <c r="H63" s="17">
        <v>1.1570322639741388</v>
      </c>
      <c r="I63" s="17">
        <v>3.3292915812731659E-2</v>
      </c>
      <c r="J63" s="17">
        <v>0.13133341027175913</v>
      </c>
      <c r="K63" s="17">
        <v>0.65699523891148393</v>
      </c>
      <c r="L63" s="17">
        <v>4.6215653048427932</v>
      </c>
      <c r="M63" s="17">
        <v>3.2048613671329078</v>
      </c>
      <c r="N63" s="17">
        <v>7.4345554496998371E-3</v>
      </c>
      <c r="O63" s="17">
        <v>0.24297858751308096</v>
      </c>
      <c r="P63" s="17">
        <v>100</v>
      </c>
      <c r="Q63" s="17">
        <v>0.66655565400131422</v>
      </c>
    </row>
    <row r="64" spans="1:17" x14ac:dyDescent="0.2">
      <c r="D64" s="28" t="s">
        <v>394</v>
      </c>
      <c r="E64" s="17">
        <v>77.90221440269876</v>
      </c>
      <c r="F64" s="17">
        <v>0.19442179418379518</v>
      </c>
      <c r="G64" s="17">
        <v>12.206397198482847</v>
      </c>
      <c r="H64" s="17">
        <v>1.0444263075550952</v>
      </c>
      <c r="I64" s="17">
        <v>3.7805418586876562E-2</v>
      </c>
      <c r="J64" s="17">
        <v>9.9338413419527011E-2</v>
      </c>
      <c r="K64" s="17">
        <v>0.7036745071548276</v>
      </c>
      <c r="L64" s="17">
        <v>4.6063360054762272</v>
      </c>
      <c r="M64" s="17">
        <v>3.0225875633517312</v>
      </c>
      <c r="N64" s="17">
        <v>0</v>
      </c>
      <c r="O64" s="17">
        <v>0.23607738979745688</v>
      </c>
      <c r="P64" s="17">
        <v>100</v>
      </c>
      <c r="Q64" s="17">
        <v>1.1993481459135324</v>
      </c>
    </row>
    <row r="65" spans="4:17" x14ac:dyDescent="0.2">
      <c r="D65" s="28" t="s">
        <v>395</v>
      </c>
      <c r="E65" s="17">
        <v>77.926830507165917</v>
      </c>
      <c r="F65" s="17">
        <v>0.11459899910067498</v>
      </c>
      <c r="G65" s="17">
        <v>12.286645881377794</v>
      </c>
      <c r="H65" s="17">
        <v>1.1586913675030994</v>
      </c>
      <c r="I65" s="17">
        <v>1.7334412246047426E-2</v>
      </c>
      <c r="J65" s="17">
        <v>0.10243765737697297</v>
      </c>
      <c r="K65" s="17">
        <v>0.68980542191327177</v>
      </c>
      <c r="L65" s="17">
        <v>4.3987390991736586</v>
      </c>
      <c r="M65" s="17">
        <v>3.1437338734057891</v>
      </c>
      <c r="N65" s="17">
        <v>0</v>
      </c>
      <c r="O65" s="17">
        <v>0.20809138775753472</v>
      </c>
      <c r="P65" s="17">
        <v>100</v>
      </c>
      <c r="Q65" s="17">
        <v>0.5619587480944972</v>
      </c>
    </row>
    <row r="66" spans="4:17" x14ac:dyDescent="0.2">
      <c r="D66" s="28" t="s">
        <v>396</v>
      </c>
      <c r="E66" s="17">
        <v>77.97098041079542</v>
      </c>
      <c r="F66" s="17">
        <v>0.18973865302834803</v>
      </c>
      <c r="G66" s="17">
        <v>12.070324106612757</v>
      </c>
      <c r="H66" s="17">
        <v>1.1637518827452771</v>
      </c>
      <c r="I66" s="17">
        <v>1.8820334702527995E-2</v>
      </c>
      <c r="J66" s="17">
        <v>0.11365090103236228</v>
      </c>
      <c r="K66" s="17">
        <v>0.69798635228401407</v>
      </c>
      <c r="L66" s="17">
        <v>4.5499019921481176</v>
      </c>
      <c r="M66" s="17">
        <v>3.0196257953217098</v>
      </c>
      <c r="N66" s="17">
        <v>0</v>
      </c>
      <c r="O66" s="17">
        <v>0.26497871475903323</v>
      </c>
      <c r="P66" s="17">
        <v>100</v>
      </c>
      <c r="Q66" s="17">
        <v>0.67126703390150055</v>
      </c>
    </row>
    <row r="67" spans="4:17" x14ac:dyDescent="0.2">
      <c r="D67" s="28" t="s">
        <v>397</v>
      </c>
      <c r="E67" s="17">
        <v>77.978864475919892</v>
      </c>
      <c r="F67" s="17">
        <v>0.16723866682735489</v>
      </c>
      <c r="G67" s="17">
        <v>12.012794159714824</v>
      </c>
      <c r="H67" s="17">
        <v>1.184179388760467</v>
      </c>
      <c r="I67" s="17">
        <v>6.1885669655236765E-2</v>
      </c>
      <c r="J67" s="17">
        <v>0.10995808358623863</v>
      </c>
      <c r="K67" s="17">
        <v>0.71024116534543491</v>
      </c>
      <c r="L67" s="17">
        <v>4.4386541633391454</v>
      </c>
      <c r="M67" s="17">
        <v>3.1803616063097522</v>
      </c>
      <c r="N67" s="17">
        <v>0</v>
      </c>
      <c r="O67" s="17">
        <v>0.20154190243290826</v>
      </c>
      <c r="P67" s="17">
        <v>100</v>
      </c>
      <c r="Q67" s="17">
        <v>0.17559744580960057</v>
      </c>
    </row>
    <row r="68" spans="4:17" x14ac:dyDescent="0.2">
      <c r="D68" s="28" t="s">
        <v>398</v>
      </c>
      <c r="E68" s="17">
        <v>78.104508814124742</v>
      </c>
      <c r="F68" s="17">
        <v>0.13010590590733559</v>
      </c>
      <c r="G68" s="17">
        <v>12.086954677819547</v>
      </c>
      <c r="H68" s="17">
        <v>1.106385954620535</v>
      </c>
      <c r="I68" s="17">
        <v>4.9052162603142858E-2</v>
      </c>
      <c r="J68" s="17">
        <v>0.10871063220147779</v>
      </c>
      <c r="K68" s="17">
        <v>0.70720522619881776</v>
      </c>
      <c r="L68" s="17">
        <v>4.4742497305257318</v>
      </c>
      <c r="M68" s="17">
        <v>3.0875421684604563</v>
      </c>
      <c r="N68" s="17">
        <v>0</v>
      </c>
      <c r="O68" s="17">
        <v>0.18713989662675046</v>
      </c>
      <c r="P68" s="17">
        <v>100</v>
      </c>
      <c r="Q68" s="17">
        <v>0.36117185000830432</v>
      </c>
    </row>
    <row r="69" spans="4:17" x14ac:dyDescent="0.2">
      <c r="D69" s="28" t="s">
        <v>399</v>
      </c>
      <c r="E69" s="17">
        <v>78.116187732483056</v>
      </c>
      <c r="F69" s="17">
        <v>0.19057500416947507</v>
      </c>
      <c r="G69" s="17">
        <v>12.067442651097055</v>
      </c>
      <c r="H69" s="17">
        <v>1.1034141122197603</v>
      </c>
      <c r="I69" s="17">
        <v>2.1655725255124377E-2</v>
      </c>
      <c r="J69" s="17">
        <v>9.708151208070212E-2</v>
      </c>
      <c r="K69" s="17">
        <v>0.73612786749006187</v>
      </c>
      <c r="L69" s="17">
        <v>4.3180429001722409</v>
      </c>
      <c r="M69" s="17">
        <v>3.1756489524439573</v>
      </c>
      <c r="N69" s="17">
        <v>7.4111552675635598E-3</v>
      </c>
      <c r="O69" s="17">
        <v>0.21483307380407202</v>
      </c>
      <c r="P69" s="17">
        <v>100</v>
      </c>
      <c r="Q69" s="17">
        <v>0.4743561063607018</v>
      </c>
    </row>
    <row r="70" spans="4:17" x14ac:dyDescent="0.2">
      <c r="D70" s="28" t="s">
        <v>400</v>
      </c>
      <c r="E70" s="17">
        <v>78.132458970759913</v>
      </c>
      <c r="F70" s="17">
        <v>0.12917583754858164</v>
      </c>
      <c r="G70" s="17">
        <v>12.100438852320435</v>
      </c>
      <c r="H70" s="17">
        <v>1.1180574606503189</v>
      </c>
      <c r="I70" s="17">
        <v>6.1959305726269655E-2</v>
      </c>
      <c r="J70" s="17">
        <v>0.10044949632802237</v>
      </c>
      <c r="K70" s="17">
        <v>0.68692784159727183</v>
      </c>
      <c r="L70" s="17">
        <v>4.409515925504377</v>
      </c>
      <c r="M70" s="17">
        <v>3.073088014080144</v>
      </c>
      <c r="N70" s="17">
        <v>4.4422859013603787E-2</v>
      </c>
      <c r="O70" s="17">
        <v>0.18579574170418536</v>
      </c>
      <c r="P70" s="17">
        <v>100</v>
      </c>
      <c r="Q70" s="17">
        <v>0.213536489343781</v>
      </c>
    </row>
    <row r="71" spans="4:17" x14ac:dyDescent="0.2">
      <c r="D71" s="28" t="s">
        <v>401</v>
      </c>
      <c r="E71" s="17">
        <v>78.142728846062411</v>
      </c>
      <c r="F71" s="17">
        <v>0.15305033165541396</v>
      </c>
      <c r="G71" s="17">
        <v>11.816533906087264</v>
      </c>
      <c r="H71" s="17">
        <v>1.0930464107102043</v>
      </c>
      <c r="I71" s="17">
        <v>1.726374012738045E-2</v>
      </c>
      <c r="J71" s="17">
        <v>0.10489231790835217</v>
      </c>
      <c r="K71" s="17">
        <v>0.66921102544244093</v>
      </c>
      <c r="L71" s="17">
        <v>4.6270909396691371</v>
      </c>
      <c r="M71" s="17">
        <v>3.175919491693334</v>
      </c>
      <c r="N71" s="17">
        <v>1.8466463713028337E-2</v>
      </c>
      <c r="O71" s="17">
        <v>0.23469633599703474</v>
      </c>
      <c r="P71" s="17">
        <v>100</v>
      </c>
      <c r="Q71" s="17">
        <v>0.14330688018878845</v>
      </c>
    </row>
    <row r="72" spans="4:17" x14ac:dyDescent="0.2">
      <c r="D72" s="28" t="s">
        <v>402</v>
      </c>
      <c r="E72" s="17">
        <v>78.152618905822692</v>
      </c>
      <c r="F72" s="17">
        <v>0.12684219480068032</v>
      </c>
      <c r="G72" s="17">
        <v>12.086021543854898</v>
      </c>
      <c r="H72" s="17">
        <v>1.0829845931234581</v>
      </c>
      <c r="I72" s="17">
        <v>1.8706953204442225E-2</v>
      </c>
      <c r="J72" s="17">
        <v>9.1279758067152578E-2</v>
      </c>
      <c r="K72" s="17">
        <v>0.67045031365771968</v>
      </c>
      <c r="L72" s="17">
        <v>4.3508636168768726</v>
      </c>
      <c r="M72" s="17">
        <v>3.1759953331470205</v>
      </c>
      <c r="N72" s="17">
        <v>9.9732032555895578E-2</v>
      </c>
      <c r="O72" s="17">
        <v>0.18670704852766773</v>
      </c>
      <c r="P72" s="17">
        <v>100</v>
      </c>
      <c r="Q72" s="17">
        <v>0.13338999766300219</v>
      </c>
    </row>
    <row r="73" spans="4:17" x14ac:dyDescent="0.2">
      <c r="D73" s="28" t="s">
        <v>403</v>
      </c>
      <c r="E73" s="17">
        <v>78.201405402342019</v>
      </c>
      <c r="F73" s="17">
        <v>0.13313877003716862</v>
      </c>
      <c r="G73" s="17">
        <v>11.93219252520365</v>
      </c>
      <c r="H73" s="17">
        <v>1.1234678680097971</v>
      </c>
      <c r="I73" s="17">
        <v>7.3154412776481798E-2</v>
      </c>
      <c r="J73" s="17">
        <v>0.11008047794385338</v>
      </c>
      <c r="K73" s="17">
        <v>0.67663935804142961</v>
      </c>
      <c r="L73" s="17">
        <v>4.6265498503444835</v>
      </c>
      <c r="M73" s="17">
        <v>2.9303052476868667</v>
      </c>
      <c r="N73" s="17">
        <v>0</v>
      </c>
      <c r="O73" s="17">
        <v>0.24927462153410798</v>
      </c>
      <c r="P73" s="17">
        <v>100</v>
      </c>
      <c r="Q73" s="17">
        <v>1.8227373112213314</v>
      </c>
    </row>
    <row r="74" spans="4:17" x14ac:dyDescent="0.2">
      <c r="D74" s="28" t="s">
        <v>404</v>
      </c>
      <c r="E74" s="17">
        <v>78.215306264210213</v>
      </c>
      <c r="F74" s="17">
        <v>0.12973234253401933</v>
      </c>
      <c r="G74" s="17">
        <v>12.013454043377731</v>
      </c>
      <c r="H74" s="17">
        <v>1.1373292948166076</v>
      </c>
      <c r="I74" s="17">
        <v>1.6217824574511531E-2</v>
      </c>
      <c r="J74" s="17">
        <v>0.10398849429377613</v>
      </c>
      <c r="K74" s="17">
        <v>0.6992101370647047</v>
      </c>
      <c r="L74" s="17">
        <v>4.3645799969609165</v>
      </c>
      <c r="M74" s="17">
        <v>3.1360617143988057</v>
      </c>
      <c r="N74" s="17">
        <v>1.5151402118929083E-2</v>
      </c>
      <c r="O74" s="17">
        <v>0.21822797444183856</v>
      </c>
      <c r="P74" s="17">
        <v>100</v>
      </c>
      <c r="Q74" s="17">
        <v>2.4776724687419005</v>
      </c>
    </row>
    <row r="75" spans="4:17" x14ac:dyDescent="0.2">
      <c r="D75" s="28" t="s">
        <v>405</v>
      </c>
      <c r="E75" s="17">
        <v>78.258031576940127</v>
      </c>
      <c r="F75" s="17">
        <v>0.13428232858877048</v>
      </c>
      <c r="G75" s="17">
        <v>12.013515597935564</v>
      </c>
      <c r="H75" s="17">
        <v>1.0553586453413553</v>
      </c>
      <c r="I75" s="17">
        <v>4.7944825626044345E-2</v>
      </c>
      <c r="J75" s="17">
        <v>0.10378605337990034</v>
      </c>
      <c r="K75" s="17">
        <v>0.6832941755681039</v>
      </c>
      <c r="L75" s="17">
        <v>4.3195554947020431</v>
      </c>
      <c r="M75" s="17">
        <v>3.1881442273295804</v>
      </c>
      <c r="N75" s="17">
        <v>0</v>
      </c>
      <c r="O75" s="17">
        <v>0.25319767401783272</v>
      </c>
      <c r="P75" s="17">
        <v>100</v>
      </c>
      <c r="Q75" s="17">
        <v>1.1321881328304784</v>
      </c>
    </row>
    <row r="76" spans="4:17" x14ac:dyDescent="0.2">
      <c r="D76" s="28" t="s">
        <v>406</v>
      </c>
      <c r="E76" s="17">
        <v>78.280892646217666</v>
      </c>
      <c r="F76" s="17">
        <v>0.15012364997754848</v>
      </c>
      <c r="G76" s="17">
        <v>12.07300054267581</v>
      </c>
      <c r="H76" s="17">
        <v>1.1235769964715099</v>
      </c>
      <c r="I76" s="17">
        <v>4.2191442071509766E-2</v>
      </c>
      <c r="J76" s="17">
        <v>0.11718394481371043</v>
      </c>
      <c r="K76" s="17">
        <v>0.69691425486702308</v>
      </c>
      <c r="L76" s="17">
        <v>4.1424748144442161</v>
      </c>
      <c r="M76" s="17">
        <v>3.1693343737565134</v>
      </c>
      <c r="N76" s="17">
        <v>0</v>
      </c>
      <c r="O76" s="17">
        <v>0.26393357479014568</v>
      </c>
      <c r="P76" s="17">
        <v>100</v>
      </c>
      <c r="Q76" s="17">
        <v>1.1861222251222756</v>
      </c>
    </row>
    <row r="77" spans="4:17" x14ac:dyDescent="0.2">
      <c r="D77" s="28" t="s">
        <v>407</v>
      </c>
      <c r="E77" s="17">
        <v>78.298821032834084</v>
      </c>
      <c r="F77" s="17">
        <v>0.1229804574093105</v>
      </c>
      <c r="G77" s="17">
        <v>12.069159591043402</v>
      </c>
      <c r="H77" s="17">
        <v>1.1080156621121606</v>
      </c>
      <c r="I77" s="17">
        <v>2.622210517526493E-2</v>
      </c>
      <c r="J77" s="17">
        <v>0.12472218070128424</v>
      </c>
      <c r="K77" s="17">
        <v>0.64801833362879202</v>
      </c>
      <c r="L77" s="17">
        <v>4.244698209151502</v>
      </c>
      <c r="M77" s="17">
        <v>3.2002071102003935</v>
      </c>
      <c r="N77" s="17">
        <v>0</v>
      </c>
      <c r="O77" s="17">
        <v>0.20287378102502976</v>
      </c>
      <c r="P77" s="17">
        <v>100</v>
      </c>
      <c r="Q77" s="17">
        <v>1.3046442037294241</v>
      </c>
    </row>
    <row r="78" spans="4:17" x14ac:dyDescent="0.2">
      <c r="D78" s="28" t="s">
        <v>408</v>
      </c>
      <c r="E78" s="17">
        <v>78.310585426429768</v>
      </c>
      <c r="F78" s="17">
        <v>0.14409096645098823</v>
      </c>
      <c r="G78" s="17">
        <v>12.066322072438505</v>
      </c>
      <c r="H78" s="17">
        <v>1.1008567342273916</v>
      </c>
      <c r="I78" s="17">
        <v>3.6573093648094412E-2</v>
      </c>
      <c r="J78" s="17">
        <v>0.10762371951889221</v>
      </c>
      <c r="K78" s="17">
        <v>0.71883965207908118</v>
      </c>
      <c r="L78" s="17">
        <v>4.1778105907314789</v>
      </c>
      <c r="M78" s="17">
        <v>3.1614863492024714</v>
      </c>
      <c r="N78" s="17">
        <v>0</v>
      </c>
      <c r="O78" s="17">
        <v>0.22700965535310449</v>
      </c>
      <c r="P78" s="17">
        <v>100</v>
      </c>
      <c r="Q78" s="17">
        <v>1.7447078834351117</v>
      </c>
    </row>
    <row r="79" spans="4:17" x14ac:dyDescent="0.2">
      <c r="D79" s="28" t="s">
        <v>409</v>
      </c>
      <c r="E79" s="17">
        <v>78.322173279026643</v>
      </c>
      <c r="F79" s="17">
        <v>0.1749480515133876</v>
      </c>
      <c r="G79" s="17">
        <v>12.059741532318585</v>
      </c>
      <c r="H79" s="17">
        <v>1.0944776067487771</v>
      </c>
      <c r="I79" s="17">
        <v>6.9986320358155746E-2</v>
      </c>
      <c r="J79" s="17">
        <v>0.13018411010493863</v>
      </c>
      <c r="K79" s="17">
        <v>0.64681892190668555</v>
      </c>
      <c r="L79" s="17">
        <v>4.2592228451753114</v>
      </c>
      <c r="M79" s="17">
        <v>3.0547288545464784</v>
      </c>
      <c r="N79" s="17">
        <v>0</v>
      </c>
      <c r="O79" s="17">
        <v>0.24253059842330443</v>
      </c>
      <c r="P79" s="17">
        <v>100</v>
      </c>
      <c r="Q79" s="17">
        <v>1.4050179422544176</v>
      </c>
    </row>
    <row r="80" spans="4:17" x14ac:dyDescent="0.2">
      <c r="D80" s="28" t="s">
        <v>410</v>
      </c>
      <c r="E80" s="17">
        <v>78.3299523713181</v>
      </c>
      <c r="F80" s="17">
        <v>0.14462371463907289</v>
      </c>
      <c r="G80" s="17">
        <v>12.152972049378279</v>
      </c>
      <c r="H80" s="17">
        <v>1.1443109816613641</v>
      </c>
      <c r="I80" s="17">
        <v>2.9319065479195051E-3</v>
      </c>
      <c r="J80" s="17">
        <v>8.5171221889788332E-2</v>
      </c>
      <c r="K80" s="17">
        <v>0.67065040638202167</v>
      </c>
      <c r="L80" s="17">
        <v>4.23993690566257</v>
      </c>
      <c r="M80" s="17">
        <v>3.025867138321749</v>
      </c>
      <c r="N80" s="17">
        <v>4.896069629291127E-2</v>
      </c>
      <c r="O80" s="17">
        <v>0.19960844307690886</v>
      </c>
      <c r="P80" s="17">
        <v>100</v>
      </c>
      <c r="Q80" s="17">
        <v>2.0091550312647257</v>
      </c>
    </row>
    <row r="81" spans="1:17" x14ac:dyDescent="0.2">
      <c r="D81" s="28" t="s">
        <v>411</v>
      </c>
      <c r="E81" s="17">
        <v>78.330005158579979</v>
      </c>
      <c r="F81" s="17">
        <v>0.15850514357989193</v>
      </c>
      <c r="G81" s="17">
        <v>11.939779331968298</v>
      </c>
      <c r="H81" s="17">
        <v>1.1106475446419632</v>
      </c>
      <c r="I81" s="17">
        <v>6.1906440330662907E-2</v>
      </c>
      <c r="J81" s="17">
        <v>0.11683794472250798</v>
      </c>
      <c r="K81" s="17">
        <v>0.70697225017915311</v>
      </c>
      <c r="L81" s="17">
        <v>4.0974115339393915</v>
      </c>
      <c r="M81" s="17">
        <v>3.2486267423259449</v>
      </c>
      <c r="N81" s="17">
        <v>5.1740213110167264E-2</v>
      </c>
      <c r="O81" s="17">
        <v>0.22911346547698913</v>
      </c>
      <c r="P81" s="17">
        <v>100</v>
      </c>
      <c r="Q81" s="17">
        <v>0.22847433951528728</v>
      </c>
    </row>
    <row r="82" spans="1:17" x14ac:dyDescent="0.2">
      <c r="D82" s="28" t="s">
        <v>412</v>
      </c>
      <c r="E82" s="17">
        <v>78.401289735957405</v>
      </c>
      <c r="F82" s="17">
        <v>0.14248056297296788</v>
      </c>
      <c r="G82" s="17">
        <v>12.076148889815704</v>
      </c>
      <c r="H82" s="17">
        <v>1.1349315552148074</v>
      </c>
      <c r="I82" s="17">
        <v>5.3742198512411875E-2</v>
      </c>
      <c r="J82" s="17">
        <v>0.11184741884036405</v>
      </c>
      <c r="K82" s="17">
        <v>0.69818660175271163</v>
      </c>
      <c r="L82" s="17">
        <v>4.1845584533263436</v>
      </c>
      <c r="M82" s="17">
        <v>2.9858934122057752</v>
      </c>
      <c r="N82" s="17">
        <v>5.971355390267985E-2</v>
      </c>
      <c r="O82" s="17">
        <v>0.19543931804074499</v>
      </c>
      <c r="P82" s="17">
        <v>100</v>
      </c>
      <c r="Q82" s="17">
        <v>1.0777350544714039</v>
      </c>
    </row>
    <row r="83" spans="1:17" x14ac:dyDescent="0.2">
      <c r="D83" s="28" t="s">
        <v>413</v>
      </c>
      <c r="E83" s="17">
        <v>78.422048371367509</v>
      </c>
      <c r="F83" s="17">
        <v>0.18419393902692169</v>
      </c>
      <c r="G83" s="17">
        <v>12.113245489257142</v>
      </c>
      <c r="H83" s="17">
        <v>1.1145849018988341</v>
      </c>
      <c r="I83" s="17">
        <v>5.7854517182294646E-2</v>
      </c>
      <c r="J83" s="17">
        <v>0.11881187120647548</v>
      </c>
      <c r="K83" s="17">
        <v>0.6789766107703965</v>
      </c>
      <c r="L83" s="17">
        <v>4.0964795666871101</v>
      </c>
      <c r="M83" s="17">
        <v>3.0407365073790218</v>
      </c>
      <c r="N83" s="17">
        <v>0</v>
      </c>
      <c r="O83" s="17">
        <v>0.22339418500762342</v>
      </c>
      <c r="P83" s="17">
        <v>100</v>
      </c>
      <c r="Q83" s="17">
        <v>0.67154165520119591</v>
      </c>
    </row>
    <row r="84" spans="1:17" x14ac:dyDescent="0.2">
      <c r="D84" s="28" t="s">
        <v>414</v>
      </c>
      <c r="E84" s="17">
        <v>78.435429369645803</v>
      </c>
      <c r="F84" s="17">
        <v>0.14670046501867123</v>
      </c>
      <c r="G84" s="17">
        <v>11.976798475724015</v>
      </c>
      <c r="H84" s="17">
        <v>1.0967284656301015</v>
      </c>
      <c r="I84" s="17">
        <v>1.5957222040669516E-2</v>
      </c>
      <c r="J84" s="17">
        <v>0.13258120005175625</v>
      </c>
      <c r="K84" s="17">
        <v>0.70646588570035085</v>
      </c>
      <c r="L84" s="17">
        <v>4.0837266437476849</v>
      </c>
      <c r="M84" s="17">
        <v>3.1641777871352925</v>
      </c>
      <c r="N84" s="17">
        <v>8.9462383935409479E-2</v>
      </c>
      <c r="O84" s="17">
        <v>0.1962374958697819</v>
      </c>
      <c r="P84" s="17">
        <v>100</v>
      </c>
      <c r="Q84" s="17">
        <v>0.92260445016242443</v>
      </c>
    </row>
    <row r="85" spans="1:17" x14ac:dyDescent="0.2">
      <c r="D85" s="28" t="s">
        <v>415</v>
      </c>
      <c r="E85" s="17">
        <v>78.46197724079758</v>
      </c>
      <c r="F85" s="17">
        <v>0.10876934991164634</v>
      </c>
      <c r="G85" s="17">
        <v>12.184620740283266</v>
      </c>
      <c r="H85" s="17">
        <v>1.1279167909058168</v>
      </c>
      <c r="I85" s="17">
        <v>3.3359000910628475E-2</v>
      </c>
      <c r="J85" s="17">
        <v>8.6162790533270903E-2</v>
      </c>
      <c r="K85" s="17">
        <v>0.64366447498914237</v>
      </c>
      <c r="L85" s="17">
        <v>3.9461500777812311</v>
      </c>
      <c r="M85" s="17">
        <v>3.2545037858383705</v>
      </c>
      <c r="N85" s="17">
        <v>0</v>
      </c>
      <c r="O85" s="17">
        <v>0.19735643365208594</v>
      </c>
      <c r="P85" s="17">
        <v>100</v>
      </c>
      <c r="Q85" s="17">
        <v>0.87832639656519973</v>
      </c>
    </row>
    <row r="86" spans="1:17" x14ac:dyDescent="0.2">
      <c r="D86" s="36" t="s">
        <v>20</v>
      </c>
      <c r="E86" s="16">
        <f t="shared" ref="E86:Q86" si="5">AVERAGE(E59:E85)</f>
        <v>78.13278294054625</v>
      </c>
      <c r="F86" s="16">
        <f t="shared" si="5"/>
        <v>0.15451955586847857</v>
      </c>
      <c r="G86" s="16">
        <f t="shared" si="5"/>
        <v>12.07910043280974</v>
      </c>
      <c r="H86" s="16">
        <f t="shared" si="5"/>
        <v>1.1164737427686777</v>
      </c>
      <c r="I86" s="16">
        <f t="shared" si="5"/>
        <v>3.7885162898185741E-2</v>
      </c>
      <c r="J86" s="16">
        <f>AVERAGE(J59:J85)</f>
        <v>0.11117785678990162</v>
      </c>
      <c r="K86" s="16">
        <f t="shared" si="5"/>
        <v>0.70023138099166526</v>
      </c>
      <c r="L86" s="16">
        <f t="shared" si="5"/>
        <v>4.3584288982684853</v>
      </c>
      <c r="M86" s="16">
        <f t="shared" si="5"/>
        <v>3.115450811659914</v>
      </c>
      <c r="N86" s="16">
        <f t="shared" si="5"/>
        <v>2.3652632188494675E-2</v>
      </c>
      <c r="O86" s="16">
        <f t="shared" si="5"/>
        <v>0.21991735401216006</v>
      </c>
      <c r="P86" s="16">
        <f t="shared" si="5"/>
        <v>100</v>
      </c>
      <c r="Q86" s="16">
        <f t="shared" si="5"/>
        <v>0.85186071626266058</v>
      </c>
    </row>
    <row r="87" spans="1:17" x14ac:dyDescent="0.2">
      <c r="D87" s="36" t="s">
        <v>61</v>
      </c>
      <c r="E87" s="16">
        <f t="shared" ref="E87:Q87" si="6">STDEV(E59:E85)</f>
        <v>0.23560867760405796</v>
      </c>
      <c r="F87" s="16">
        <f t="shared" si="6"/>
        <v>3.3351411716847974E-2</v>
      </c>
      <c r="G87" s="16">
        <f t="shared" si="6"/>
        <v>0.13291859148875457</v>
      </c>
      <c r="H87" s="16">
        <f t="shared" si="6"/>
        <v>4.0777873027259937E-2</v>
      </c>
      <c r="I87" s="16">
        <f t="shared" si="6"/>
        <v>1.9362766512982826E-2</v>
      </c>
      <c r="J87" s="16">
        <f t="shared" si="6"/>
        <v>1.7015306381369492E-2</v>
      </c>
      <c r="K87" s="16">
        <f t="shared" si="6"/>
        <v>6.3334172363380375E-2</v>
      </c>
      <c r="L87" s="16">
        <f t="shared" si="6"/>
        <v>0.21222999926250352</v>
      </c>
      <c r="M87" s="16">
        <f t="shared" si="6"/>
        <v>8.4413227245609332E-2</v>
      </c>
      <c r="N87" s="16">
        <f t="shared" si="6"/>
        <v>3.2948234981343381E-2</v>
      </c>
      <c r="O87" s="16">
        <f t="shared" si="6"/>
        <v>2.6879077554699139E-2</v>
      </c>
      <c r="P87" s="16">
        <f t="shared" si="6"/>
        <v>0</v>
      </c>
      <c r="Q87" s="16">
        <f t="shared" si="6"/>
        <v>0.63692896912537822</v>
      </c>
    </row>
    <row r="88" spans="1:17" x14ac:dyDescent="0.2">
      <c r="D88" s="23"/>
    </row>
    <row r="89" spans="1:17" x14ac:dyDescent="0.2">
      <c r="A89" s="1" t="s">
        <v>68</v>
      </c>
      <c r="D89" s="28" t="s">
        <v>35</v>
      </c>
      <c r="E89" s="8">
        <v>74.374200000000002</v>
      </c>
      <c r="F89" s="8">
        <v>7.9939999999999997E-2</v>
      </c>
      <c r="G89" s="8">
        <v>12.8544</v>
      </c>
      <c r="H89" s="8">
        <v>1.6365700000000001</v>
      </c>
      <c r="I89" s="8">
        <v>5.0209999999999998E-2</v>
      </c>
      <c r="J89" s="8">
        <v>2.1475999999999999E-2</v>
      </c>
      <c r="K89" s="8">
        <v>0.71103499999999997</v>
      </c>
      <c r="L89" s="8">
        <v>4.2909300000000004</v>
      </c>
      <c r="M89" s="8">
        <v>5.2873900000000003</v>
      </c>
      <c r="N89" s="8">
        <v>1.0975E-2</v>
      </c>
      <c r="O89" s="8">
        <v>0.326044</v>
      </c>
      <c r="P89" s="8">
        <v>99.569500000000005</v>
      </c>
      <c r="Q89" s="8">
        <f>100-P89</f>
        <v>0.430499999999995</v>
      </c>
    </row>
    <row r="90" spans="1:17" x14ac:dyDescent="0.2">
      <c r="D90" s="28" t="s">
        <v>36</v>
      </c>
      <c r="E90" s="8">
        <v>74.580100000000002</v>
      </c>
      <c r="F90" s="8">
        <v>0.107626</v>
      </c>
      <c r="G90" s="8">
        <v>13.144399999999999</v>
      </c>
      <c r="H90" s="8">
        <v>1.6203099999999999</v>
      </c>
      <c r="I90" s="8">
        <v>6.1706999999999998E-2</v>
      </c>
      <c r="J90" s="8">
        <v>3.9038000000000003E-2</v>
      </c>
      <c r="K90" s="8">
        <v>0.71695900000000001</v>
      </c>
      <c r="L90" s="8">
        <v>3.9997400000000001</v>
      </c>
      <c r="M90" s="8">
        <v>5.2512499999999998</v>
      </c>
      <c r="N90" s="8">
        <v>0.14272199999999999</v>
      </c>
      <c r="O90" s="8">
        <v>0.310311</v>
      </c>
      <c r="P90" s="8">
        <v>99.904200000000003</v>
      </c>
      <c r="Q90" s="8">
        <f>100-P90</f>
        <v>9.5799999999996999E-2</v>
      </c>
    </row>
    <row r="91" spans="1:17" x14ac:dyDescent="0.2">
      <c r="D91" s="28" t="s">
        <v>37</v>
      </c>
      <c r="E91" s="8">
        <v>74.076499999999996</v>
      </c>
      <c r="F91" s="8">
        <v>7.3275999999999994E-2</v>
      </c>
      <c r="G91" s="8">
        <v>13.2043</v>
      </c>
      <c r="H91" s="8">
        <v>1.57734</v>
      </c>
      <c r="I91" s="8">
        <v>9.0392E-2</v>
      </c>
      <c r="J91" s="8">
        <v>4.3122000000000001E-2</v>
      </c>
      <c r="K91" s="8">
        <v>0.72134900000000002</v>
      </c>
      <c r="L91" s="8">
        <v>3.8006600000000001</v>
      </c>
      <c r="M91" s="8">
        <v>5.4375499999999999</v>
      </c>
      <c r="N91" s="8">
        <v>2.9257999999999999E-2</v>
      </c>
      <c r="O91" s="8">
        <v>0.39187100000000002</v>
      </c>
      <c r="P91" s="8">
        <v>99.357200000000006</v>
      </c>
      <c r="Q91" s="8">
        <f>100-P91</f>
        <v>0.64279999999999404</v>
      </c>
    </row>
    <row r="92" spans="1:17" x14ac:dyDescent="0.2">
      <c r="D92" s="28" t="s">
        <v>38</v>
      </c>
      <c r="E92" s="8">
        <v>74.058099999999996</v>
      </c>
      <c r="F92" s="8">
        <v>0.13406299999999999</v>
      </c>
      <c r="G92" s="8">
        <v>13.145799999999999</v>
      </c>
      <c r="H92" s="8">
        <v>1.5502899999999999</v>
      </c>
      <c r="I92" s="8">
        <v>5.3088999999999997E-2</v>
      </c>
      <c r="J92" s="8">
        <v>4.4685999999999997E-2</v>
      </c>
      <c r="K92" s="8">
        <v>0.72151600000000005</v>
      </c>
      <c r="L92" s="8">
        <v>3.9402599999999999</v>
      </c>
      <c r="M92" s="8">
        <v>5.1541399999999999</v>
      </c>
      <c r="N92" s="8">
        <v>0.109774</v>
      </c>
      <c r="O92" s="8">
        <v>0.33642699999999998</v>
      </c>
      <c r="P92" s="8">
        <v>99.172300000000007</v>
      </c>
      <c r="Q92" s="8">
        <f>100-P92</f>
        <v>0.827699999999993</v>
      </c>
    </row>
    <row r="93" spans="1:17" x14ac:dyDescent="0.2">
      <c r="D93" s="36" t="s">
        <v>20</v>
      </c>
      <c r="E93" s="16">
        <f t="shared" ref="E93:Q93" si="7">AVERAGE(E89:E92)</f>
        <v>74.272224999999992</v>
      </c>
      <c r="F93" s="16">
        <f t="shared" si="7"/>
        <v>9.8726250000000002E-2</v>
      </c>
      <c r="G93" s="16">
        <f t="shared" si="7"/>
        <v>13.087225</v>
      </c>
      <c r="H93" s="16">
        <f t="shared" si="7"/>
        <v>1.5961275000000001</v>
      </c>
      <c r="I93" s="16">
        <f t="shared" si="7"/>
        <v>6.3849500000000003E-2</v>
      </c>
      <c r="J93" s="16">
        <f t="shared" si="7"/>
        <v>3.7080500000000002E-2</v>
      </c>
      <c r="K93" s="16">
        <f t="shared" si="7"/>
        <v>0.71771475000000007</v>
      </c>
      <c r="L93" s="16">
        <f t="shared" si="7"/>
        <v>4.0078975000000003</v>
      </c>
      <c r="M93" s="16">
        <f t="shared" si="7"/>
        <v>5.2825825000000002</v>
      </c>
      <c r="N93" s="16">
        <f t="shared" si="7"/>
        <v>7.3182250000000004E-2</v>
      </c>
      <c r="O93" s="16">
        <f t="shared" si="7"/>
        <v>0.34116325000000003</v>
      </c>
      <c r="P93" s="16">
        <f t="shared" si="7"/>
        <v>99.500800000000012</v>
      </c>
      <c r="Q93" s="16">
        <f t="shared" si="7"/>
        <v>0.49919999999999476</v>
      </c>
    </row>
    <row r="94" spans="1:17" x14ac:dyDescent="0.2">
      <c r="D94" s="36" t="s">
        <v>61</v>
      </c>
      <c r="E94" s="16">
        <f t="shared" ref="E94:Q94" si="8">STDEV(E89:E92)</f>
        <v>0.25122613153624812</v>
      </c>
      <c r="F94" s="16">
        <f t="shared" si="8"/>
        <v>2.7859946546670403E-2</v>
      </c>
      <c r="G94" s="16">
        <f t="shared" si="8"/>
        <v>0.15770652861142623</v>
      </c>
      <c r="H94" s="16">
        <f t="shared" si="8"/>
        <v>3.9473348287167163E-2</v>
      </c>
      <c r="I94" s="16">
        <f t="shared" si="8"/>
        <v>1.8356823735784646E-2</v>
      </c>
      <c r="J94" s="16">
        <f t="shared" si="8"/>
        <v>1.0672012915409455E-2</v>
      </c>
      <c r="K94" s="16">
        <f t="shared" si="8"/>
        <v>4.9277274258357276E-3</v>
      </c>
      <c r="L94" s="16">
        <f t="shared" si="8"/>
        <v>0.20631380118240608</v>
      </c>
      <c r="M94" s="16">
        <f t="shared" si="8"/>
        <v>0.11763961843273718</v>
      </c>
      <c r="N94" s="16">
        <f t="shared" si="8"/>
        <v>6.3176511164487914E-2</v>
      </c>
      <c r="O94" s="16">
        <f t="shared" si="8"/>
        <v>3.5469052354364747E-2</v>
      </c>
      <c r="P94" s="16">
        <f t="shared" si="8"/>
        <v>0.31410426082220788</v>
      </c>
      <c r="Q94" s="16">
        <f t="shared" si="8"/>
        <v>0.31410426082220788</v>
      </c>
    </row>
    <row r="95" spans="1:17" x14ac:dyDescent="0.2">
      <c r="D95" s="23"/>
    </row>
    <row r="96" spans="1:17" x14ac:dyDescent="0.2">
      <c r="A96" s="1" t="s">
        <v>68</v>
      </c>
      <c r="D96" s="35" t="s">
        <v>40</v>
      </c>
      <c r="E96" s="17">
        <v>75.381341620138869</v>
      </c>
      <c r="F96" s="17">
        <v>0.211548793996127</v>
      </c>
      <c r="G96" s="17">
        <v>13.172105776774956</v>
      </c>
      <c r="H96" s="17">
        <v>1.6878561977612783</v>
      </c>
      <c r="I96" s="17">
        <v>4.3624726406490379E-2</v>
      </c>
      <c r="J96" s="17">
        <v>0.29379663241259218</v>
      </c>
      <c r="K96" s="17">
        <v>1.3606969526379802</v>
      </c>
      <c r="L96" s="17">
        <v>3.8692078109574686</v>
      </c>
      <c r="M96" s="17">
        <v>3.7764427670515937</v>
      </c>
      <c r="N96" s="17">
        <v>0</v>
      </c>
      <c r="O96" s="17">
        <v>0.26262982484872216</v>
      </c>
      <c r="P96" s="17">
        <v>100.00023936765629</v>
      </c>
      <c r="Q96" s="17">
        <v>4.5908056541815228</v>
      </c>
    </row>
    <row r="97" spans="1:17" x14ac:dyDescent="0.2">
      <c r="D97" s="35" t="s">
        <v>41</v>
      </c>
      <c r="E97" s="17">
        <v>75.310186619071004</v>
      </c>
      <c r="F97" s="17">
        <v>0.31985958834020201</v>
      </c>
      <c r="G97" s="17">
        <v>13.056462954533766</v>
      </c>
      <c r="H97" s="17">
        <v>1.7030411550994373</v>
      </c>
      <c r="I97" s="17">
        <v>4.446344273996105E-2</v>
      </c>
      <c r="J97" s="17">
        <v>0.29496534826299259</v>
      </c>
      <c r="K97" s="17">
        <v>1.4230325934609946</v>
      </c>
      <c r="L97" s="17">
        <v>4.0169950587248842</v>
      </c>
      <c r="M97" s="17">
        <v>3.673555554844353</v>
      </c>
      <c r="N97" s="17">
        <v>1.032784603269559E-6</v>
      </c>
      <c r="O97" s="17">
        <v>0.20347715696696195</v>
      </c>
      <c r="P97" s="17">
        <v>100.00018474284836</v>
      </c>
      <c r="Q97" s="17">
        <v>3.1743892352549068</v>
      </c>
    </row>
    <row r="98" spans="1:17" x14ac:dyDescent="0.2">
      <c r="D98" s="35" t="s">
        <v>42</v>
      </c>
      <c r="E98" s="17">
        <v>75.345029548101394</v>
      </c>
      <c r="F98" s="17">
        <v>0.30623918123707261</v>
      </c>
      <c r="G98" s="17">
        <v>13.008626101507147</v>
      </c>
      <c r="H98" s="17">
        <v>1.6597703270334119</v>
      </c>
      <c r="I98" s="17">
        <v>8.7057929728580716E-2</v>
      </c>
      <c r="J98" s="17">
        <v>0.31743307601006687</v>
      </c>
      <c r="K98" s="17">
        <v>1.5075609792836018</v>
      </c>
      <c r="L98" s="17">
        <v>3.6964858273366987</v>
      </c>
      <c r="M98" s="17">
        <v>3.7441493547549691</v>
      </c>
      <c r="N98" s="17">
        <v>0.10352390934699222</v>
      </c>
      <c r="O98" s="17">
        <v>0.28937143924901626</v>
      </c>
      <c r="P98" s="17">
        <v>100.00026299677212</v>
      </c>
      <c r="Q98" s="17">
        <v>4.4211133214176641</v>
      </c>
    </row>
    <row r="99" spans="1:17" x14ac:dyDescent="0.2">
      <c r="D99" s="35" t="s">
        <v>43</v>
      </c>
      <c r="E99" s="17">
        <v>75.146319055371009</v>
      </c>
      <c r="F99" s="17">
        <v>0.32124518219592463</v>
      </c>
      <c r="G99" s="17">
        <v>13.083977519727854</v>
      </c>
      <c r="H99" s="17">
        <v>1.7674272105059123</v>
      </c>
      <c r="I99" s="17">
        <v>4.2987702145615619E-2</v>
      </c>
      <c r="J99" s="17">
        <v>0.29150990305899627</v>
      </c>
      <c r="K99" s="17">
        <v>1.4208428664125288</v>
      </c>
      <c r="L99" s="17">
        <v>3.883298899339116</v>
      </c>
      <c r="M99" s="17">
        <v>3.6865727840862021</v>
      </c>
      <c r="N99" s="17">
        <v>9.0882025037117647E-2</v>
      </c>
      <c r="O99" s="17">
        <v>0.34226883267071673</v>
      </c>
      <c r="P99" s="17">
        <v>100.0003100150046</v>
      </c>
      <c r="Q99" s="17">
        <v>3.2327900219187597</v>
      </c>
    </row>
    <row r="100" spans="1:17" x14ac:dyDescent="0.2">
      <c r="D100" s="36" t="s">
        <v>20</v>
      </c>
      <c r="E100" s="16">
        <v>75.295719210670569</v>
      </c>
      <c r="F100" s="16">
        <v>0.28972318644233158</v>
      </c>
      <c r="G100" s="16">
        <v>13.08029308813593</v>
      </c>
      <c r="H100" s="16">
        <v>1.7045237226000101</v>
      </c>
      <c r="I100" s="16">
        <v>5.4533450255161937E-2</v>
      </c>
      <c r="J100" s="16">
        <v>0.29942623993616202</v>
      </c>
      <c r="K100" s="16">
        <v>1.4280333479487763</v>
      </c>
      <c r="L100" s="16">
        <v>3.8664968990895421</v>
      </c>
      <c r="M100" s="16">
        <v>3.7201801151842795</v>
      </c>
      <c r="N100" s="16">
        <v>4.8601741792178285E-2</v>
      </c>
      <c r="O100" s="16">
        <v>0.27443681343385429</v>
      </c>
      <c r="P100" s="16">
        <v>100.00024928057033</v>
      </c>
      <c r="Q100" s="16">
        <v>3.8547745581932134</v>
      </c>
    </row>
    <row r="101" spans="1:17" x14ac:dyDescent="0.2">
      <c r="D101" s="36" t="s">
        <v>61</v>
      </c>
      <c r="E101" s="16">
        <v>0.10375037138898446</v>
      </c>
      <c r="F101" s="16">
        <v>5.2554266093986231E-2</v>
      </c>
      <c r="G101" s="16">
        <v>6.867114161283322E-2</v>
      </c>
      <c r="H101" s="16">
        <v>4.5605992282125606E-2</v>
      </c>
      <c r="I101" s="16">
        <v>2.1691406683974429E-2</v>
      </c>
      <c r="J101" s="16">
        <v>1.209003129764962E-2</v>
      </c>
      <c r="K101" s="16">
        <v>6.0375339472751359E-2</v>
      </c>
      <c r="L101" s="16">
        <v>0.13145736549380779</v>
      </c>
      <c r="M101" s="16">
        <v>4.8453801953224622E-2</v>
      </c>
      <c r="N101" s="16">
        <v>5.6356676804864649E-2</v>
      </c>
      <c r="O101" s="16">
        <v>5.7731862107902911E-2</v>
      </c>
      <c r="P101" s="16">
        <v>5.2090271386719952E-5</v>
      </c>
      <c r="Q101" s="16">
        <v>0.75548446267428537</v>
      </c>
    </row>
    <row r="102" spans="1:17" x14ac:dyDescent="0.2">
      <c r="B102" s="5"/>
      <c r="C102" s="5"/>
      <c r="D102" s="2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2">
      <c r="A103" s="1" t="s">
        <v>68</v>
      </c>
      <c r="B103" s="5">
        <v>256.10000000000002</v>
      </c>
      <c r="C103" s="5">
        <v>256.12</v>
      </c>
      <c r="D103" s="28" t="s">
        <v>303</v>
      </c>
      <c r="E103" s="17">
        <v>69.765555271089625</v>
      </c>
      <c r="F103" s="17">
        <v>0.68591132230368412</v>
      </c>
      <c r="G103" s="17">
        <v>14.327535922218523</v>
      </c>
      <c r="H103" s="17">
        <v>4.1989574611431166</v>
      </c>
      <c r="I103" s="17">
        <v>4.8664420130548766E-2</v>
      </c>
      <c r="J103" s="17">
        <v>0.98876645007970765</v>
      </c>
      <c r="K103" s="17">
        <v>3.0555204514969092</v>
      </c>
      <c r="L103" s="17">
        <v>4.1867768672990975</v>
      </c>
      <c r="M103" s="17">
        <v>2.4917683101479238</v>
      </c>
      <c r="N103" s="17">
        <v>0.12028311440259</v>
      </c>
      <c r="O103" s="17">
        <v>0.16782540107236496</v>
      </c>
      <c r="P103" s="17">
        <v>100</v>
      </c>
      <c r="Q103" s="17">
        <v>-7.7222474552087306E-2</v>
      </c>
    </row>
    <row r="104" spans="1:17" x14ac:dyDescent="0.2">
      <c r="B104" s="5"/>
      <c r="C104" s="5"/>
      <c r="D104" s="28" t="s">
        <v>307</v>
      </c>
      <c r="E104" s="17">
        <v>77.893465859989732</v>
      </c>
      <c r="F104" s="17">
        <v>0.15381459114732002</v>
      </c>
      <c r="G104" s="17">
        <v>12.208145193033397</v>
      </c>
      <c r="H104" s="17">
        <v>1.1361814271544342</v>
      </c>
      <c r="I104" s="17">
        <v>8.5184719450220422E-2</v>
      </c>
      <c r="J104" s="17">
        <v>8.5792614745840629E-2</v>
      </c>
      <c r="K104" s="17">
        <v>0.66731630717784485</v>
      </c>
      <c r="L104" s="17">
        <v>4.4651768316685629</v>
      </c>
      <c r="M104" s="17">
        <v>3.1149908456405901</v>
      </c>
      <c r="N104" s="17">
        <v>3.3343810553976394E-2</v>
      </c>
      <c r="O104" s="17">
        <v>0.20229851131188301</v>
      </c>
      <c r="P104" s="17">
        <v>100</v>
      </c>
      <c r="Q104" s="17">
        <v>0.47628195859414291</v>
      </c>
    </row>
    <row r="105" spans="1:17" x14ac:dyDescent="0.2">
      <c r="A105" s="5"/>
      <c r="B105" s="5"/>
      <c r="C105" s="5"/>
      <c r="D105" s="28" t="s">
        <v>416</v>
      </c>
      <c r="E105" s="17">
        <v>78.113492950745794</v>
      </c>
      <c r="F105" s="17">
        <v>0.13993001422736087</v>
      </c>
      <c r="G105" s="17">
        <v>12.210116723047882</v>
      </c>
      <c r="H105" s="17">
        <v>1.1426624433383346</v>
      </c>
      <c r="I105" s="17">
        <v>3.6096932134345741E-2</v>
      </c>
      <c r="J105" s="17">
        <v>0.10028198746904488</v>
      </c>
      <c r="K105" s="17">
        <v>0.72955846956048354</v>
      </c>
      <c r="L105" s="17">
        <v>4.0747730304335192</v>
      </c>
      <c r="M105" s="17">
        <v>3.2409384425070895</v>
      </c>
      <c r="N105" s="17">
        <v>1.1112624444555635E-2</v>
      </c>
      <c r="O105" s="17">
        <v>0.25968924812247296</v>
      </c>
      <c r="P105" s="17">
        <v>100</v>
      </c>
      <c r="Q105" s="17">
        <v>0.50955060020386611</v>
      </c>
    </row>
    <row r="106" spans="1:17" x14ac:dyDescent="0.2">
      <c r="B106" s="5"/>
      <c r="C106" s="5"/>
      <c r="D106" s="28" t="s">
        <v>304</v>
      </c>
      <c r="E106" s="17">
        <v>78.209010142875641</v>
      </c>
      <c r="F106" s="17">
        <v>0.18436161024461972</v>
      </c>
      <c r="G106" s="17">
        <v>12.047071702226846</v>
      </c>
      <c r="H106" s="17">
        <v>1.0585869870539362</v>
      </c>
      <c r="I106" s="17">
        <v>3.3469598126982095E-2</v>
      </c>
      <c r="J106" s="17">
        <v>0.10927741306156506</v>
      </c>
      <c r="K106" s="17">
        <v>0.70746538885082277</v>
      </c>
      <c r="L106" s="17">
        <v>4.3925318007526295</v>
      </c>
      <c r="M106" s="17">
        <v>3.0385117302285893</v>
      </c>
      <c r="N106" s="17">
        <v>4.4807625637991143E-2</v>
      </c>
      <c r="O106" s="17">
        <v>0.22593572718871874</v>
      </c>
      <c r="P106" s="17">
        <v>100</v>
      </c>
      <c r="Q106" s="17">
        <v>1.1909259426116421</v>
      </c>
    </row>
    <row r="107" spans="1:17" x14ac:dyDescent="0.2">
      <c r="B107" s="5"/>
      <c r="C107" s="5"/>
      <c r="D107" s="28" t="s">
        <v>308</v>
      </c>
      <c r="E107" s="17">
        <v>78.233511824274586</v>
      </c>
      <c r="F107" s="17">
        <v>0.16303864876330337</v>
      </c>
      <c r="G107" s="17">
        <v>12.075989166240182</v>
      </c>
      <c r="H107" s="17">
        <v>1.0143790758405482</v>
      </c>
      <c r="I107" s="17">
        <v>6.2037277123679874E-2</v>
      </c>
      <c r="J107" s="17">
        <v>9.219137380936443E-2</v>
      </c>
      <c r="K107" s="17">
        <v>0.70999209533219187</v>
      </c>
      <c r="L107" s="17">
        <v>4.2227175612295182</v>
      </c>
      <c r="M107" s="17">
        <v>3.1760379871546967</v>
      </c>
      <c r="N107" s="17">
        <v>7.0317410635180905E-2</v>
      </c>
      <c r="O107" s="17">
        <v>0.2319842326489725</v>
      </c>
      <c r="P107" s="17">
        <v>100</v>
      </c>
      <c r="Q107" s="17">
        <v>0.35184833023008366</v>
      </c>
    </row>
    <row r="108" spans="1:17" x14ac:dyDescent="0.2">
      <c r="B108" s="5"/>
      <c r="C108" s="5"/>
      <c r="D108" s="28" t="s">
        <v>302</v>
      </c>
      <c r="E108" s="17">
        <v>78.245680740018813</v>
      </c>
      <c r="F108" s="17">
        <v>0.14109845665845069</v>
      </c>
      <c r="G108" s="17">
        <v>11.923138343565446</v>
      </c>
      <c r="H108" s="17">
        <v>1.184949114097152</v>
      </c>
      <c r="I108" s="17">
        <v>6.5951226175765806E-2</v>
      </c>
      <c r="J108" s="17">
        <v>0.10702698986294673</v>
      </c>
      <c r="K108" s="17">
        <v>0.70810899860931065</v>
      </c>
      <c r="L108" s="17">
        <v>4.1814631590998044</v>
      </c>
      <c r="M108" s="17">
        <v>3.1369731232983598</v>
      </c>
      <c r="N108" s="17">
        <v>0.1384067399469556</v>
      </c>
      <c r="O108" s="17">
        <v>0.21600193260921224</v>
      </c>
      <c r="P108" s="17">
        <v>100</v>
      </c>
      <c r="Q108" s="17">
        <v>4.0017848473841013</v>
      </c>
    </row>
    <row r="109" spans="1:17" x14ac:dyDescent="0.2">
      <c r="B109" s="5"/>
      <c r="C109" s="5"/>
      <c r="D109" s="28" t="s">
        <v>299</v>
      </c>
      <c r="E109" s="17">
        <v>78.340766071693196</v>
      </c>
      <c r="F109" s="17">
        <v>0.1393594327811282</v>
      </c>
      <c r="G109" s="17">
        <v>12.214902646229884</v>
      </c>
      <c r="H109" s="17">
        <v>1.1048684340461876</v>
      </c>
      <c r="I109" s="17">
        <v>3.0211332292978781E-2</v>
      </c>
      <c r="J109" s="17">
        <v>0.1253552005973286</v>
      </c>
      <c r="K109" s="17">
        <v>0.67175355950488225</v>
      </c>
      <c r="L109" s="17">
        <v>4.1543986335094134</v>
      </c>
      <c r="M109" s="17">
        <v>3.0499363856092381</v>
      </c>
      <c r="N109" s="17">
        <v>7.3886192824436691E-3</v>
      </c>
      <c r="O109" s="17">
        <v>0.20850245044078164</v>
      </c>
      <c r="P109" s="17">
        <v>100</v>
      </c>
      <c r="Q109" s="17">
        <v>0.13019052783685936</v>
      </c>
    </row>
    <row r="110" spans="1:17" x14ac:dyDescent="0.2">
      <c r="B110" s="5"/>
      <c r="C110" s="5"/>
      <c r="D110" s="28" t="s">
        <v>306</v>
      </c>
      <c r="E110" s="17">
        <v>78.355484431892947</v>
      </c>
      <c r="F110" s="17">
        <v>0.13160416466656977</v>
      </c>
      <c r="G110" s="17">
        <v>12.098779627390584</v>
      </c>
      <c r="H110" s="17">
        <v>1.1049369901921184</v>
      </c>
      <c r="I110" s="17">
        <v>5.6641852038263114E-2</v>
      </c>
      <c r="J110" s="17">
        <v>9.6057620696577417E-2</v>
      </c>
      <c r="K110" s="17">
        <v>0.6670739400689879</v>
      </c>
      <c r="L110" s="17">
        <v>4.2083300476604251</v>
      </c>
      <c r="M110" s="17">
        <v>3.0838073495316536</v>
      </c>
      <c r="N110" s="17">
        <v>5.2193607828810738E-2</v>
      </c>
      <c r="O110" s="17">
        <v>0.18735778257032387</v>
      </c>
      <c r="P110" s="17">
        <v>100</v>
      </c>
      <c r="Q110" s="17">
        <v>1.0396059045974226</v>
      </c>
    </row>
    <row r="111" spans="1:17" x14ac:dyDescent="0.2">
      <c r="B111" s="5"/>
      <c r="C111" s="5"/>
      <c r="D111" s="36" t="s">
        <v>20</v>
      </c>
      <c r="E111" s="16">
        <f t="shared" ref="E111:Q111" si="9">AVERAGE(E103:E110)</f>
        <v>77.144620911572531</v>
      </c>
      <c r="F111" s="16">
        <f t="shared" si="9"/>
        <v>0.2173897800990546</v>
      </c>
      <c r="G111" s="16">
        <f t="shared" si="9"/>
        <v>12.388209915494093</v>
      </c>
      <c r="H111" s="16">
        <f t="shared" si="9"/>
        <v>1.4931902416082286</v>
      </c>
      <c r="I111" s="16">
        <f t="shared" si="9"/>
        <v>5.228216968409808E-2</v>
      </c>
      <c r="J111" s="16">
        <f t="shared" si="9"/>
        <v>0.21309370629029695</v>
      </c>
      <c r="K111" s="16">
        <f t="shared" si="9"/>
        <v>0.98959865132517921</v>
      </c>
      <c r="L111" s="16">
        <f t="shared" si="9"/>
        <v>4.2357709914566204</v>
      </c>
      <c r="M111" s="16">
        <f t="shared" si="9"/>
        <v>3.0416205217647678</v>
      </c>
      <c r="N111" s="16">
        <f t="shared" si="9"/>
        <v>5.9731694091563009E-2</v>
      </c>
      <c r="O111" s="16">
        <f t="shared" si="9"/>
        <v>0.21244941074559123</v>
      </c>
      <c r="P111" s="16">
        <f t="shared" si="9"/>
        <v>100</v>
      </c>
      <c r="Q111" s="16">
        <f t="shared" si="9"/>
        <v>0.95287070461325385</v>
      </c>
    </row>
    <row r="112" spans="1:17" x14ac:dyDescent="0.2">
      <c r="B112" s="5"/>
      <c r="C112" s="5"/>
      <c r="D112" s="36" t="s">
        <v>61</v>
      </c>
      <c r="E112" s="16">
        <f t="shared" ref="E112:Q112" si="10">STDEV(E103:E110)</f>
        <v>2.9851534017016674</v>
      </c>
      <c r="F112" s="16">
        <f t="shared" si="10"/>
        <v>0.19006293465976154</v>
      </c>
      <c r="G112" s="16">
        <f t="shared" si="10"/>
        <v>0.79003433875747964</v>
      </c>
      <c r="H112" s="16">
        <f t="shared" si="10"/>
        <v>1.0945441585265998</v>
      </c>
      <c r="I112" s="16">
        <f t="shared" si="10"/>
        <v>1.8896993623259289E-2</v>
      </c>
      <c r="J112" s="16">
        <f t="shared" si="10"/>
        <v>0.31365155668004474</v>
      </c>
      <c r="K112" s="16">
        <f t="shared" si="10"/>
        <v>0.83508620685925461</v>
      </c>
      <c r="L112" s="16">
        <f t="shared" si="10"/>
        <v>0.12873891477402186</v>
      </c>
      <c r="M112" s="16">
        <f t="shared" si="10"/>
        <v>0.23190731301505066</v>
      </c>
      <c r="N112" s="16">
        <f t="shared" si="10"/>
        <v>4.7880471879598333E-2</v>
      </c>
      <c r="O112" s="16">
        <f t="shared" si="10"/>
        <v>2.815067607345904E-2</v>
      </c>
      <c r="P112" s="16">
        <f t="shared" si="10"/>
        <v>0</v>
      </c>
      <c r="Q112" s="16">
        <f t="shared" si="10"/>
        <v>1.3029013127073339</v>
      </c>
    </row>
    <row r="113" spans="1:17" x14ac:dyDescent="0.2">
      <c r="B113" s="5"/>
      <c r="C113" s="5"/>
      <c r="D113" s="28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1:17" x14ac:dyDescent="0.2">
      <c r="A114" s="1" t="s">
        <v>68</v>
      </c>
      <c r="B114" s="19">
        <v>255.05600000000001</v>
      </c>
      <c r="C114" s="19">
        <v>255.07599999999999</v>
      </c>
      <c r="D114" s="28" t="s">
        <v>417</v>
      </c>
      <c r="E114" s="17">
        <v>69.557443717577939</v>
      </c>
      <c r="F114" s="17">
        <v>0.70372772558986818</v>
      </c>
      <c r="G114" s="17">
        <v>14.729383407156554</v>
      </c>
      <c r="H114" s="17">
        <v>3.496406410907472</v>
      </c>
      <c r="I114" s="17">
        <v>9.7846853445547805E-2</v>
      </c>
      <c r="J114" s="17">
        <v>1.0442465818965816</v>
      </c>
      <c r="K114" s="17">
        <v>3.1804569403612302</v>
      </c>
      <c r="L114" s="17">
        <v>4.5297502212043836</v>
      </c>
      <c r="M114" s="17">
        <v>2.4429336944802778</v>
      </c>
      <c r="N114" s="17">
        <v>9.1572238114245946E-2</v>
      </c>
      <c r="O114" s="17">
        <v>0.16298137633827323</v>
      </c>
      <c r="P114" s="17">
        <v>100</v>
      </c>
      <c r="Q114" s="17">
        <v>0.3923002447507713</v>
      </c>
    </row>
    <row r="115" spans="1:17" x14ac:dyDescent="0.2">
      <c r="D115" s="28" t="s">
        <v>418</v>
      </c>
      <c r="E115" s="17">
        <v>70.32957417602222</v>
      </c>
      <c r="F115" s="17">
        <v>0.58673160303770833</v>
      </c>
      <c r="G115" s="17">
        <v>14.545273716915416</v>
      </c>
      <c r="H115" s="17">
        <v>3.3376081249355414</v>
      </c>
      <c r="I115" s="17">
        <v>0.12225995262805699</v>
      </c>
      <c r="J115" s="17">
        <v>0.92406277411864801</v>
      </c>
      <c r="K115" s="17">
        <v>3.2358343461521035</v>
      </c>
      <c r="L115" s="17">
        <v>4.2385342932377039</v>
      </c>
      <c r="M115" s="17">
        <v>2.5083435273452475</v>
      </c>
      <c r="N115" s="17">
        <v>0</v>
      </c>
      <c r="O115" s="17">
        <v>0.22110140262505854</v>
      </c>
      <c r="P115" s="17">
        <v>100</v>
      </c>
      <c r="Q115" s="17">
        <v>0.31813575884515899</v>
      </c>
    </row>
    <row r="116" spans="1:17" x14ac:dyDescent="0.2">
      <c r="A116" s="5"/>
      <c r="B116" s="5"/>
      <c r="C116" s="5"/>
      <c r="D116" s="28" t="s">
        <v>419</v>
      </c>
      <c r="E116" s="17">
        <v>75.792171313038665</v>
      </c>
      <c r="F116" s="17">
        <v>0.53262021022690831</v>
      </c>
      <c r="G116" s="17">
        <v>12.742398656961571</v>
      </c>
      <c r="H116" s="17">
        <v>1.9655147641628259</v>
      </c>
      <c r="I116" s="17">
        <v>1.1690805470782438E-2</v>
      </c>
      <c r="J116" s="17">
        <v>0.33899677089324115</v>
      </c>
      <c r="K116" s="17">
        <v>1.4989598515819873</v>
      </c>
      <c r="L116" s="17">
        <v>4.1638293110899243</v>
      </c>
      <c r="M116" s="17">
        <v>2.7838661412776253</v>
      </c>
      <c r="N116" s="17">
        <v>0</v>
      </c>
      <c r="O116" s="17">
        <v>0.21957940568316847</v>
      </c>
      <c r="P116" s="17">
        <v>100</v>
      </c>
      <c r="Q116" s="17">
        <v>1.6064373943420662</v>
      </c>
    </row>
    <row r="117" spans="1:17" x14ac:dyDescent="0.2">
      <c r="B117" s="5"/>
      <c r="C117" s="5"/>
      <c r="D117" s="28" t="s">
        <v>420</v>
      </c>
      <c r="E117" s="17">
        <v>77.016281878796647</v>
      </c>
      <c r="F117" s="17">
        <v>0.28087506937451834</v>
      </c>
      <c r="G117" s="17">
        <v>12.626507743758761</v>
      </c>
      <c r="H117" s="17">
        <v>1.5525476428712983</v>
      </c>
      <c r="I117" s="17">
        <v>2.0193507913389183E-2</v>
      </c>
      <c r="J117" s="17">
        <v>0.25333436548926486</v>
      </c>
      <c r="K117" s="17">
        <v>1.2372609829185806</v>
      </c>
      <c r="L117" s="17">
        <v>3.8374082676250136</v>
      </c>
      <c r="M117" s="17">
        <v>3.0415310384990688</v>
      </c>
      <c r="N117" s="17">
        <v>1.8473780727399389E-2</v>
      </c>
      <c r="O117" s="17">
        <v>0.14916602756798694</v>
      </c>
      <c r="P117" s="17">
        <v>100</v>
      </c>
      <c r="Q117" s="17">
        <v>0.27487999424002396</v>
      </c>
    </row>
    <row r="118" spans="1:17" x14ac:dyDescent="0.2">
      <c r="B118" s="5"/>
      <c r="C118" s="5"/>
      <c r="D118" s="28" t="s">
        <v>421</v>
      </c>
      <c r="E118" s="17">
        <v>77.027237101736887</v>
      </c>
      <c r="F118" s="17">
        <v>0.33442006873661051</v>
      </c>
      <c r="G118" s="17">
        <v>12.289028707756342</v>
      </c>
      <c r="H118" s="17">
        <v>1.6994125277209611</v>
      </c>
      <c r="I118" s="17">
        <v>3.1751730163696118E-2</v>
      </c>
      <c r="J118" s="17">
        <v>0.29138846172112826</v>
      </c>
      <c r="K118" s="17">
        <v>1.1294016811210978</v>
      </c>
      <c r="L118" s="17">
        <v>4.2662664386235125</v>
      </c>
      <c r="M118" s="17">
        <v>2.8185973697704463</v>
      </c>
      <c r="N118" s="17">
        <v>1.1093349727458988E-2</v>
      </c>
      <c r="O118" s="17">
        <v>0.13097112346373813</v>
      </c>
      <c r="P118" s="17">
        <v>100</v>
      </c>
      <c r="Q118" s="17">
        <v>0.28259928902618014</v>
      </c>
    </row>
    <row r="119" spans="1:17" x14ac:dyDescent="0.2">
      <c r="B119" s="5"/>
      <c r="C119" s="5"/>
      <c r="D119" s="28" t="s">
        <v>422</v>
      </c>
      <c r="E119" s="17">
        <v>77.104608606267604</v>
      </c>
      <c r="F119" s="17">
        <v>0.3394547354366757</v>
      </c>
      <c r="G119" s="17">
        <v>12.164610475331662</v>
      </c>
      <c r="H119" s="17">
        <v>1.7352228426216674</v>
      </c>
      <c r="I119" s="17">
        <v>4.5969535254135656E-2</v>
      </c>
      <c r="J119" s="17">
        <v>0.2655432666305575</v>
      </c>
      <c r="K119" s="17">
        <v>1.2742089089174113</v>
      </c>
      <c r="L119" s="17">
        <v>3.9608180283245664</v>
      </c>
      <c r="M119" s="17">
        <v>2.9843263606437733</v>
      </c>
      <c r="N119" s="17">
        <v>0</v>
      </c>
      <c r="O119" s="17">
        <v>0.16225041316962524</v>
      </c>
      <c r="P119" s="17">
        <v>100</v>
      </c>
      <c r="Q119" s="17">
        <v>-0.10760331943946255</v>
      </c>
    </row>
    <row r="120" spans="1:17" x14ac:dyDescent="0.2">
      <c r="B120" s="5"/>
      <c r="C120" s="5"/>
      <c r="D120" s="28" t="s">
        <v>423</v>
      </c>
      <c r="E120" s="17">
        <v>77.509375801894123</v>
      </c>
      <c r="F120" s="17">
        <v>0.29597076573130759</v>
      </c>
      <c r="G120" s="17">
        <v>12.061497335058142</v>
      </c>
      <c r="H120" s="17">
        <v>1.3867821115798782</v>
      </c>
      <c r="I120" s="17">
        <v>1.8739594689860466E-2</v>
      </c>
      <c r="J120" s="17">
        <v>0.19341702616774012</v>
      </c>
      <c r="K120" s="17">
        <v>1.0312989542639872</v>
      </c>
      <c r="L120" s="17">
        <v>4.2669000990065449</v>
      </c>
      <c r="M120" s="17">
        <v>3.0996727801872517</v>
      </c>
      <c r="N120" s="17">
        <v>0</v>
      </c>
      <c r="O120" s="17">
        <v>0.17666541970719649</v>
      </c>
      <c r="P120" s="17">
        <v>100</v>
      </c>
      <c r="Q120" s="17">
        <v>0.20061634460432742</v>
      </c>
    </row>
    <row r="121" spans="1:17" x14ac:dyDescent="0.2">
      <c r="B121" s="5"/>
      <c r="C121" s="5"/>
      <c r="D121" s="28" t="s">
        <v>424</v>
      </c>
      <c r="E121" s="17">
        <v>77.759074261137471</v>
      </c>
      <c r="F121" s="17">
        <v>0.13357378661435249</v>
      </c>
      <c r="G121" s="17">
        <v>12.114743604983168</v>
      </c>
      <c r="H121" s="17">
        <v>1.1587247518770378</v>
      </c>
      <c r="I121" s="17">
        <v>3.4503334350595924E-2</v>
      </c>
      <c r="J121" s="17">
        <v>0.12967321006767399</v>
      </c>
      <c r="K121" s="17">
        <v>0.69230442821397908</v>
      </c>
      <c r="L121" s="17">
        <v>4.4966121905833027</v>
      </c>
      <c r="M121" s="17">
        <v>3.2028084785920528</v>
      </c>
      <c r="N121" s="17">
        <v>0.12158260784470167</v>
      </c>
      <c r="O121" s="17">
        <v>0.20144860940870365</v>
      </c>
      <c r="P121" s="17">
        <v>100</v>
      </c>
      <c r="Q121" s="17">
        <v>-0.19031682195360133</v>
      </c>
    </row>
    <row r="122" spans="1:17" x14ac:dyDescent="0.2">
      <c r="B122" s="5"/>
      <c r="C122" s="5"/>
      <c r="D122" s="28" t="s">
        <v>425</v>
      </c>
      <c r="E122" s="17">
        <v>77.823113390080763</v>
      </c>
      <c r="F122" s="17">
        <v>0.10608230056830024</v>
      </c>
      <c r="G122" s="17">
        <v>12.16092835737143</v>
      </c>
      <c r="H122" s="17">
        <v>1.1253496836664285</v>
      </c>
      <c r="I122" s="17">
        <v>2.024795726634343E-2</v>
      </c>
      <c r="J122" s="17">
        <v>0.12021910732326192</v>
      </c>
      <c r="K122" s="17">
        <v>0.68343133665213518</v>
      </c>
      <c r="L122" s="17">
        <v>4.5214980314659687</v>
      </c>
      <c r="M122" s="17">
        <v>3.2946670187583296</v>
      </c>
      <c r="N122" s="17">
        <v>0</v>
      </c>
      <c r="O122" s="17">
        <v>0.18653071536236276</v>
      </c>
      <c r="P122" s="17">
        <v>100</v>
      </c>
      <c r="Q122" s="17">
        <v>0.44427823093523955</v>
      </c>
    </row>
    <row r="123" spans="1:17" x14ac:dyDescent="0.2">
      <c r="B123" s="5"/>
      <c r="C123" s="5"/>
      <c r="D123" s="28" t="s">
        <v>426</v>
      </c>
      <c r="E123" s="17">
        <v>78.015704628063475</v>
      </c>
      <c r="F123" s="17">
        <v>0.14296006457789531</v>
      </c>
      <c r="G123" s="17">
        <v>11.945187994795932</v>
      </c>
      <c r="H123" s="17">
        <v>1.1468955858947156</v>
      </c>
      <c r="I123" s="17">
        <v>8.6837011606349657E-3</v>
      </c>
      <c r="J123" s="17">
        <v>0.13014098056672541</v>
      </c>
      <c r="K123" s="17">
        <v>0.87746574797454935</v>
      </c>
      <c r="L123" s="17">
        <v>4.3316326882888285</v>
      </c>
      <c r="M123" s="17">
        <v>3.1312597757393554</v>
      </c>
      <c r="N123" s="17">
        <v>8.8991108018290105E-2</v>
      </c>
      <c r="O123" s="17">
        <v>0.23387418590423303</v>
      </c>
      <c r="P123" s="17">
        <v>100</v>
      </c>
      <c r="Q123" s="17">
        <v>0.46870752323297893</v>
      </c>
    </row>
    <row r="124" spans="1:17" x14ac:dyDescent="0.2">
      <c r="B124" s="5"/>
      <c r="C124" s="5"/>
      <c r="D124" s="28" t="s">
        <v>427</v>
      </c>
      <c r="E124" s="17">
        <v>78.05690654356151</v>
      </c>
      <c r="F124" s="17">
        <v>9.6528385413699985E-2</v>
      </c>
      <c r="G124" s="17">
        <v>12.124564414232927</v>
      </c>
      <c r="H124" s="17">
        <v>1.1438175240186843</v>
      </c>
      <c r="I124" s="17">
        <v>6.0832725478012113E-2</v>
      </c>
      <c r="J124" s="17">
        <v>0.10143217195928296</v>
      </c>
      <c r="K124" s="17">
        <v>0.71853912751214666</v>
      </c>
      <c r="L124" s="17">
        <v>4.3997968883360565</v>
      </c>
      <c r="M124" s="17">
        <v>3.132093769490564</v>
      </c>
      <c r="N124" s="17">
        <v>7.430681275497425E-3</v>
      </c>
      <c r="O124" s="17">
        <v>0.20412175089771456</v>
      </c>
      <c r="P124" s="17">
        <v>100</v>
      </c>
      <c r="Q124" s="17">
        <v>0.66859650758064504</v>
      </c>
    </row>
    <row r="125" spans="1:17" x14ac:dyDescent="0.2">
      <c r="B125" s="5"/>
      <c r="C125" s="5"/>
      <c r="D125" s="28" t="s">
        <v>428</v>
      </c>
      <c r="E125" s="17">
        <v>78.056946655016915</v>
      </c>
      <c r="F125" s="17">
        <v>0.15906101711402845</v>
      </c>
      <c r="G125" s="17">
        <v>12.050609874965984</v>
      </c>
      <c r="H125" s="17">
        <v>1.0587317251409527</v>
      </c>
      <c r="I125" s="17">
        <v>4.8929939799224768E-2</v>
      </c>
      <c r="J125" s="17">
        <v>0.10216973443426748</v>
      </c>
      <c r="K125" s="17">
        <v>0.71551382779844364</v>
      </c>
      <c r="L125" s="17">
        <v>4.3679689424010562</v>
      </c>
      <c r="M125" s="17">
        <v>3.1721070051167413</v>
      </c>
      <c r="N125" s="17">
        <v>0.1069631242122588</v>
      </c>
      <c r="O125" s="17">
        <v>0.20739952574431392</v>
      </c>
      <c r="P125" s="17">
        <v>100</v>
      </c>
      <c r="Q125" s="17">
        <v>-9.6178742439363418E-2</v>
      </c>
    </row>
    <row r="126" spans="1:17" x14ac:dyDescent="0.2">
      <c r="B126" s="5"/>
      <c r="C126" s="5"/>
      <c r="D126" s="28" t="s">
        <v>429</v>
      </c>
      <c r="E126" s="17">
        <v>78.101997176835454</v>
      </c>
      <c r="F126" s="17">
        <v>0.11819791212020607</v>
      </c>
      <c r="G126" s="17">
        <v>12.231583824361744</v>
      </c>
      <c r="H126" s="17">
        <v>1.08300053662912</v>
      </c>
      <c r="I126" s="17">
        <v>3.6053906738251519E-2</v>
      </c>
      <c r="J126" s="17">
        <v>0.12396581545859679</v>
      </c>
      <c r="K126" s="17">
        <v>0.66651862087870251</v>
      </c>
      <c r="L126" s="17">
        <v>4.4675188048962235</v>
      </c>
      <c r="M126" s="17">
        <v>3.0203889653367084</v>
      </c>
      <c r="N126" s="17">
        <v>7.4008394764231364E-3</v>
      </c>
      <c r="O126" s="17">
        <v>0.18493076944438883</v>
      </c>
      <c r="P126" s="17">
        <v>100</v>
      </c>
      <c r="Q126" s="17">
        <v>0.24104666071961844</v>
      </c>
    </row>
    <row r="127" spans="1:17" x14ac:dyDescent="0.2">
      <c r="B127" s="5"/>
      <c r="C127" s="5"/>
      <c r="D127" s="28" t="s">
        <v>430</v>
      </c>
      <c r="E127" s="17">
        <v>78.105469084564149</v>
      </c>
      <c r="F127" s="17">
        <v>0.18597467766380577</v>
      </c>
      <c r="G127" s="17">
        <v>11.932713665505892</v>
      </c>
      <c r="H127" s="17">
        <v>1.1831258153174389</v>
      </c>
      <c r="I127" s="17">
        <v>3.3207362597049463E-2</v>
      </c>
      <c r="J127" s="17">
        <v>9.8199101475757E-2</v>
      </c>
      <c r="K127" s="17">
        <v>0.69678963478094036</v>
      </c>
      <c r="L127" s="17">
        <v>4.3268718800678165</v>
      </c>
      <c r="M127" s="17">
        <v>3.1799226747283207</v>
      </c>
      <c r="N127" s="17">
        <v>8.8837296584158842E-2</v>
      </c>
      <c r="O127" s="17">
        <v>0.21838926227132127</v>
      </c>
      <c r="P127" s="17">
        <v>100</v>
      </c>
      <c r="Q127" s="17">
        <v>0.35041204103272605</v>
      </c>
    </row>
    <row r="128" spans="1:17" x14ac:dyDescent="0.2">
      <c r="B128" s="5"/>
      <c r="C128" s="5"/>
      <c r="D128" s="28" t="s">
        <v>431</v>
      </c>
      <c r="E128" s="17">
        <v>78.105569733057507</v>
      </c>
      <c r="F128" s="17">
        <v>9.3549191538623802E-2</v>
      </c>
      <c r="G128" s="17">
        <v>12.128436313248301</v>
      </c>
      <c r="H128" s="17">
        <v>1.0760235268605378</v>
      </c>
      <c r="I128" s="17">
        <v>2.183013360164247E-2</v>
      </c>
      <c r="J128" s="17">
        <v>9.6822801400039391E-2</v>
      </c>
      <c r="K128" s="17">
        <v>0.68514419404743565</v>
      </c>
      <c r="L128" s="17">
        <v>4.3193648856032194</v>
      </c>
      <c r="M128" s="17">
        <v>3.3036231240890905</v>
      </c>
      <c r="N128" s="17">
        <v>0</v>
      </c>
      <c r="O128" s="17">
        <v>0.21900925288481857</v>
      </c>
      <c r="P128" s="17">
        <v>100</v>
      </c>
      <c r="Q128" s="17">
        <v>1.1183330624421899</v>
      </c>
    </row>
    <row r="129" spans="1:17" x14ac:dyDescent="0.2">
      <c r="B129" s="5"/>
      <c r="C129" s="5"/>
      <c r="D129" s="28" t="s">
        <v>432</v>
      </c>
      <c r="E129" s="17">
        <v>78.14432847470755</v>
      </c>
      <c r="F129" s="17">
        <v>9.9007328031024161E-2</v>
      </c>
      <c r="G129" s="17">
        <v>11.844007794410205</v>
      </c>
      <c r="H129" s="17">
        <v>1.1281146235498851</v>
      </c>
      <c r="I129" s="17">
        <v>6.975527759846549E-2</v>
      </c>
      <c r="J129" s="17">
        <v>0.12861558163729331</v>
      </c>
      <c r="K129" s="17">
        <v>0.69914105869122789</v>
      </c>
      <c r="L129" s="17">
        <v>4.6956256332701551</v>
      </c>
      <c r="M129" s="17">
        <v>3.0525233351746732</v>
      </c>
      <c r="N129" s="17">
        <v>0</v>
      </c>
      <c r="O129" s="17">
        <v>0.17940631972665164</v>
      </c>
      <c r="P129" s="17">
        <v>100</v>
      </c>
      <c r="Q129" s="17">
        <v>0.89925468016384968</v>
      </c>
    </row>
    <row r="130" spans="1:17" x14ac:dyDescent="0.2">
      <c r="B130" s="5"/>
      <c r="C130" s="5"/>
      <c r="D130" s="28" t="s">
        <v>433</v>
      </c>
      <c r="E130" s="17">
        <v>78.18839949337908</v>
      </c>
      <c r="F130" s="17">
        <v>0.13189894464387608</v>
      </c>
      <c r="G130" s="17">
        <v>12.247694177125148</v>
      </c>
      <c r="H130" s="17">
        <v>1.0706600947428131</v>
      </c>
      <c r="I130" s="17">
        <v>2.1830385503761061E-2</v>
      </c>
      <c r="J130" s="17">
        <v>8.9004222995728577E-2</v>
      </c>
      <c r="K130" s="17">
        <v>0.73250690787375838</v>
      </c>
      <c r="L130" s="17">
        <v>4.2942220750905573</v>
      </c>
      <c r="M130" s="17">
        <v>3.0792985023897286</v>
      </c>
      <c r="N130" s="17">
        <v>0</v>
      </c>
      <c r="O130" s="17">
        <v>0.18660174111383485</v>
      </c>
      <c r="P130" s="17">
        <v>100</v>
      </c>
      <c r="Q130" s="17">
        <v>1.050762496711485</v>
      </c>
    </row>
    <row r="131" spans="1:17" x14ac:dyDescent="0.2">
      <c r="B131" s="5"/>
      <c r="C131" s="5"/>
      <c r="D131" s="28" t="s">
        <v>434</v>
      </c>
      <c r="E131" s="17">
        <v>78.236077104097333</v>
      </c>
      <c r="F131" s="17">
        <v>0.11803382300072485</v>
      </c>
      <c r="G131" s="17">
        <v>12.047402910143013</v>
      </c>
      <c r="H131" s="17">
        <v>1.1684817468767454</v>
      </c>
      <c r="I131" s="17">
        <v>3.648554005390036E-2</v>
      </c>
      <c r="J131" s="17">
        <v>0.12538686929088988</v>
      </c>
      <c r="K131" s="17">
        <v>0.66718659999519414</v>
      </c>
      <c r="L131" s="17">
        <v>4.3204923190090696</v>
      </c>
      <c r="M131" s="17">
        <v>3.1571183018609874</v>
      </c>
      <c r="N131" s="17">
        <v>0</v>
      </c>
      <c r="O131" s="17">
        <v>0.15924878243668147</v>
      </c>
      <c r="P131" s="17">
        <v>100</v>
      </c>
      <c r="Q131" s="17">
        <v>1.3198106789401294</v>
      </c>
    </row>
    <row r="132" spans="1:17" x14ac:dyDescent="0.2">
      <c r="B132" s="5"/>
      <c r="C132" s="5"/>
      <c r="D132" s="28" t="s">
        <v>435</v>
      </c>
      <c r="E132" s="17">
        <v>78.240463965241347</v>
      </c>
      <c r="F132" s="17">
        <v>0.1767459773584254</v>
      </c>
      <c r="G132" s="17">
        <v>12.010123412330147</v>
      </c>
      <c r="H132" s="17">
        <v>1.1757398863214945</v>
      </c>
      <c r="I132" s="17">
        <v>4.4666360584311032E-2</v>
      </c>
      <c r="J132" s="17">
        <v>9.9495772569253238E-2</v>
      </c>
      <c r="K132" s="17">
        <v>0.68064107994609513</v>
      </c>
      <c r="L132" s="17">
        <v>4.301894497155649</v>
      </c>
      <c r="M132" s="17">
        <v>3.1189477729300235</v>
      </c>
      <c r="N132" s="17">
        <v>0</v>
      </c>
      <c r="O132" s="17">
        <v>0.1950935393155846</v>
      </c>
      <c r="P132" s="17">
        <v>100</v>
      </c>
      <c r="Q132" s="17">
        <v>0.12842009861707027</v>
      </c>
    </row>
    <row r="133" spans="1:17" x14ac:dyDescent="0.2">
      <c r="B133" s="5"/>
      <c r="C133" s="5"/>
      <c r="D133" s="28" t="s">
        <v>436</v>
      </c>
      <c r="E133" s="17">
        <v>78.250016556184974</v>
      </c>
      <c r="F133" s="17">
        <v>8.6511789685998847E-2</v>
      </c>
      <c r="G133" s="17">
        <v>12.0498934398733</v>
      </c>
      <c r="H133" s="17">
        <v>1.1754997509202256</v>
      </c>
      <c r="I133" s="17">
        <v>6.563481626017989E-2</v>
      </c>
      <c r="J133" s="17">
        <v>0.15091312208853888</v>
      </c>
      <c r="K133" s="17">
        <v>0.72987001976347599</v>
      </c>
      <c r="L133" s="17">
        <v>4.0741557201422092</v>
      </c>
      <c r="M133" s="17">
        <v>3.2400137137541076</v>
      </c>
      <c r="N133" s="17">
        <v>0</v>
      </c>
      <c r="O133" s="17">
        <v>0.22924971245923886</v>
      </c>
      <c r="P133" s="17">
        <v>100</v>
      </c>
      <c r="Q133" s="17">
        <v>3.525287937133541</v>
      </c>
    </row>
    <row r="134" spans="1:17" x14ac:dyDescent="0.2">
      <c r="B134" s="5"/>
      <c r="C134" s="5"/>
      <c r="D134" s="28" t="s">
        <v>437</v>
      </c>
      <c r="E134" s="17">
        <v>78.302707408309189</v>
      </c>
      <c r="F134" s="17">
        <v>0.11270150647216663</v>
      </c>
      <c r="G134" s="17">
        <v>11.898883484078498</v>
      </c>
      <c r="H134" s="17">
        <v>1.0658116139949214</v>
      </c>
      <c r="I134" s="17">
        <v>7.4799352865394422E-2</v>
      </c>
      <c r="J134" s="17">
        <v>0.10859819743159467</v>
      </c>
      <c r="K134" s="17">
        <v>0.71681856185388637</v>
      </c>
      <c r="L134" s="17">
        <v>4.478817818279909</v>
      </c>
      <c r="M134" s="17">
        <v>2.9980856536561458</v>
      </c>
      <c r="N134" s="17">
        <v>5.6408790113332108E-2</v>
      </c>
      <c r="O134" s="17">
        <v>0.24066263889744796</v>
      </c>
      <c r="P134" s="17">
        <v>100</v>
      </c>
      <c r="Q134" s="17">
        <v>1.7865834585484492</v>
      </c>
    </row>
    <row r="135" spans="1:17" x14ac:dyDescent="0.2">
      <c r="B135" s="5"/>
      <c r="C135" s="5"/>
      <c r="D135" s="28" t="s">
        <v>438</v>
      </c>
      <c r="E135" s="17">
        <v>78.333868372356363</v>
      </c>
      <c r="F135" s="17">
        <v>0.1588000514236724</v>
      </c>
      <c r="G135" s="17">
        <v>12.129454163381011</v>
      </c>
      <c r="H135" s="17">
        <v>1.0701336030275967</v>
      </c>
      <c r="I135" s="17">
        <v>8.4481404524806777E-2</v>
      </c>
      <c r="J135" s="17">
        <v>9.406619012836423E-2</v>
      </c>
      <c r="K135" s="17">
        <v>0.67759808451395465</v>
      </c>
      <c r="L135" s="17">
        <v>4.0117624998769514</v>
      </c>
      <c r="M135" s="17">
        <v>3.1885948733539204</v>
      </c>
      <c r="N135" s="17">
        <v>6.9762516326546675E-2</v>
      </c>
      <c r="O135" s="17">
        <v>0.23486554663803846</v>
      </c>
      <c r="P135" s="17">
        <v>100</v>
      </c>
      <c r="Q135" s="17">
        <v>-0.52389691871572097</v>
      </c>
    </row>
    <row r="136" spans="1:17" x14ac:dyDescent="0.2">
      <c r="B136" s="5"/>
      <c r="C136" s="5"/>
      <c r="D136" s="28" t="s">
        <v>439</v>
      </c>
      <c r="E136" s="17">
        <v>78.370818640378516</v>
      </c>
      <c r="F136" s="17">
        <v>0.14862404695957443</v>
      </c>
      <c r="G136" s="17">
        <v>11.927894795622453</v>
      </c>
      <c r="H136" s="17">
        <v>1.1907383838151109</v>
      </c>
      <c r="I136" s="17">
        <v>4.8968622586110531E-2</v>
      </c>
      <c r="J136" s="17">
        <v>0.12013236869925338</v>
      </c>
      <c r="K136" s="17">
        <v>0.71764748088094654</v>
      </c>
      <c r="L136" s="17">
        <v>4.2718346344804852</v>
      </c>
      <c r="M136" s="17">
        <v>3.0624771303115295</v>
      </c>
      <c r="N136" s="17">
        <v>0</v>
      </c>
      <c r="O136" s="17">
        <v>0.18202392519369173</v>
      </c>
      <c r="P136" s="17">
        <v>100</v>
      </c>
      <c r="Q136" s="17">
        <v>2.9786882070157787</v>
      </c>
    </row>
    <row r="137" spans="1:17" x14ac:dyDescent="0.2">
      <c r="B137" s="5"/>
      <c r="C137" s="5"/>
      <c r="D137" s="28" t="s">
        <v>440</v>
      </c>
      <c r="E137" s="17">
        <v>78.428074815435338</v>
      </c>
      <c r="F137" s="17">
        <v>0.19063224287891326</v>
      </c>
      <c r="G137" s="17">
        <v>11.790925631099189</v>
      </c>
      <c r="H137" s="17">
        <v>1.0623976090464524</v>
      </c>
      <c r="I137" s="17">
        <v>3.5133472977571807E-2</v>
      </c>
      <c r="J137" s="17">
        <v>9.9141935633543635E-2</v>
      </c>
      <c r="K137" s="17">
        <v>0.697794975968691</v>
      </c>
      <c r="L137" s="17">
        <v>3.9779525476430919</v>
      </c>
      <c r="M137" s="17">
        <v>3.4966450114300591</v>
      </c>
      <c r="N137" s="17">
        <v>5.6250138254416916E-2</v>
      </c>
      <c r="O137" s="17">
        <v>0.21318066704007937</v>
      </c>
      <c r="P137" s="17">
        <v>100</v>
      </c>
      <c r="Q137" s="17">
        <v>1.5895752120159585</v>
      </c>
    </row>
    <row r="138" spans="1:17" x14ac:dyDescent="0.2">
      <c r="B138" s="5"/>
      <c r="C138" s="5"/>
      <c r="D138" s="28" t="s">
        <v>441</v>
      </c>
      <c r="E138" s="17">
        <v>78.466589997420769</v>
      </c>
      <c r="F138" s="17">
        <v>8.6331788065220849E-2</v>
      </c>
      <c r="G138" s="17">
        <v>12.115687906620634</v>
      </c>
      <c r="H138" s="17">
        <v>1.0386320606934827</v>
      </c>
      <c r="I138" s="17">
        <v>4.3684380484633927E-3</v>
      </c>
      <c r="J138" s="17">
        <v>8.4101031720417288E-2</v>
      </c>
      <c r="K138" s="17">
        <v>0.72675411343406859</v>
      </c>
      <c r="L138" s="17">
        <v>4.2160283235905327</v>
      </c>
      <c r="M138" s="17">
        <v>3.1006855006806391</v>
      </c>
      <c r="N138" s="17">
        <v>0</v>
      </c>
      <c r="O138" s="17">
        <v>0.20764547766813679</v>
      </c>
      <c r="P138" s="17">
        <v>100</v>
      </c>
      <c r="Q138" s="17">
        <v>1.1546014365737562</v>
      </c>
    </row>
    <row r="139" spans="1:17" x14ac:dyDescent="0.2">
      <c r="B139" s="5"/>
      <c r="C139" s="5"/>
      <c r="D139" s="36" t="s">
        <v>20</v>
      </c>
      <c r="E139" s="16">
        <f t="shared" ref="E139:Q139" si="11">AVERAGE(E114:E138)</f>
        <v>77.252912755806491</v>
      </c>
      <c r="F139" s="16">
        <f t="shared" si="11"/>
        <v>0.21676060049056425</v>
      </c>
      <c r="G139" s="16">
        <f t="shared" si="11"/>
        <v>12.316377432283497</v>
      </c>
      <c r="H139" s="16">
        <f t="shared" si="11"/>
        <v>1.4118149178877311</v>
      </c>
      <c r="I139" s="16">
        <f t="shared" si="11"/>
        <v>4.3954588462407525E-2</v>
      </c>
      <c r="J139" s="16">
        <f t="shared" si="11"/>
        <v>0.21252269847190564</v>
      </c>
      <c r="K139" s="16">
        <f>AVERAGE(K114:K138)</f>
        <v>1.0147634986438412</v>
      </c>
      <c r="L139" s="16">
        <f>AVERAGE(L114:L138)</f>
        <v>4.2855022815717083</v>
      </c>
      <c r="M139" s="16">
        <f t="shared" si="11"/>
        <v>3.0644212607838672</v>
      </c>
      <c r="N139" s="16">
        <f t="shared" si="11"/>
        <v>2.8990658826989205E-2</v>
      </c>
      <c r="O139" s="16">
        <f t="shared" si="11"/>
        <v>0.19625590363849152</v>
      </c>
      <c r="P139" s="16">
        <f t="shared" si="11"/>
        <v>100</v>
      </c>
      <c r="Q139" s="16">
        <f t="shared" si="11"/>
        <v>0.79525325819695181</v>
      </c>
    </row>
    <row r="140" spans="1:17" x14ac:dyDescent="0.2">
      <c r="B140" s="5"/>
      <c r="C140" s="5"/>
      <c r="D140" s="36" t="s">
        <v>61</v>
      </c>
      <c r="E140" s="16">
        <f t="shared" ref="E140:Q140" si="12">STDEV(E114:E138)</f>
        <v>2.283019773746469</v>
      </c>
      <c r="F140" s="16">
        <f t="shared" si="12"/>
        <v>0.16673518792781564</v>
      </c>
      <c r="G140" s="16">
        <f t="shared" si="12"/>
        <v>0.73024744940441688</v>
      </c>
      <c r="H140" s="16">
        <f t="shared" si="12"/>
        <v>0.65092376807802277</v>
      </c>
      <c r="I140" s="16">
        <f t="shared" si="12"/>
        <v>2.9046040430419078E-2</v>
      </c>
      <c r="J140" s="16">
        <f t="shared" si="12"/>
        <v>0.24283702755943787</v>
      </c>
      <c r="K140" s="16">
        <f t="shared" si="12"/>
        <v>0.69809413133021503</v>
      </c>
      <c r="L140" s="16">
        <f t="shared" si="12"/>
        <v>0.20084978693562683</v>
      </c>
      <c r="M140" s="16">
        <f t="shared" si="12"/>
        <v>0.22902084257151295</v>
      </c>
      <c r="N140" s="16">
        <f t="shared" si="12"/>
        <v>4.1430719845789242E-2</v>
      </c>
      <c r="O140" s="16">
        <f t="shared" si="12"/>
        <v>2.8914205362318944E-2</v>
      </c>
      <c r="P140" s="16">
        <f t="shared" si="12"/>
        <v>0</v>
      </c>
      <c r="Q140" s="16">
        <f t="shared" si="12"/>
        <v>0.95461642684652592</v>
      </c>
    </row>
    <row r="141" spans="1:17" x14ac:dyDescent="0.2">
      <c r="B141" s="5"/>
      <c r="C141" s="5"/>
      <c r="D141" s="2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2">
      <c r="A142" s="1" t="s">
        <v>68</v>
      </c>
      <c r="B142" s="5"/>
      <c r="C142" s="5"/>
      <c r="D142" s="28" t="s">
        <v>39</v>
      </c>
      <c r="E142" s="8">
        <v>74.422499999999999</v>
      </c>
      <c r="F142" s="8">
        <v>9.3040999999999999E-2</v>
      </c>
      <c r="G142" s="8">
        <v>12.993</v>
      </c>
      <c r="H142" s="8">
        <v>1.7200299999999999</v>
      </c>
      <c r="I142" s="8">
        <v>3.5919E-2</v>
      </c>
      <c r="J142" s="8">
        <v>4.3104000000000003E-2</v>
      </c>
      <c r="K142" s="8">
        <v>0.73145899999999997</v>
      </c>
      <c r="L142" s="8">
        <v>4.2315199999999997</v>
      </c>
      <c r="M142" s="8">
        <v>5.2447400000000002</v>
      </c>
      <c r="N142" s="8">
        <v>3.2918999999999997E-2</v>
      </c>
      <c r="O142" s="8">
        <v>0.33700999999999998</v>
      </c>
      <c r="P142" s="8">
        <v>99.809100000000001</v>
      </c>
      <c r="Q142" s="8">
        <f>100-P142</f>
        <v>0.19089999999999918</v>
      </c>
    </row>
    <row r="143" spans="1:17" x14ac:dyDescent="0.2">
      <c r="B143" s="5"/>
      <c r="C143" s="5"/>
      <c r="D143" s="28" t="s">
        <v>45</v>
      </c>
      <c r="E143" s="8">
        <v>73.986500000000007</v>
      </c>
      <c r="F143" s="8">
        <v>7.1095000000000005E-2</v>
      </c>
      <c r="G143" s="8">
        <v>13.128</v>
      </c>
      <c r="H143" s="8">
        <v>1.5739700000000001</v>
      </c>
      <c r="I143" s="8">
        <v>5.7480999999999997E-2</v>
      </c>
      <c r="J143" s="8">
        <v>2.8594000000000001E-2</v>
      </c>
      <c r="K143" s="8">
        <v>0.71861900000000001</v>
      </c>
      <c r="L143" s="8">
        <v>3.8463699999999998</v>
      </c>
      <c r="M143" s="8">
        <v>5.282</v>
      </c>
      <c r="N143" s="8">
        <v>3.6586E-2</v>
      </c>
      <c r="O143" s="8">
        <v>0.30633700000000003</v>
      </c>
      <c r="P143" s="8">
        <v>98.966399999999993</v>
      </c>
      <c r="Q143" s="8">
        <f>100-P143</f>
        <v>1.033600000000007</v>
      </c>
    </row>
    <row r="144" spans="1:17" x14ac:dyDescent="0.2">
      <c r="B144" s="5"/>
      <c r="C144" s="5"/>
      <c r="D144" s="28" t="s">
        <v>46</v>
      </c>
      <c r="E144" s="8">
        <v>74.156400000000005</v>
      </c>
      <c r="F144" s="8">
        <v>7.7469999999999997E-2</v>
      </c>
      <c r="G144" s="8">
        <v>12.960100000000001</v>
      </c>
      <c r="H144" s="8">
        <v>1.67475</v>
      </c>
      <c r="I144" s="8">
        <v>0.13936699999999999</v>
      </c>
      <c r="J144" s="8">
        <v>1.9231000000000002E-2</v>
      </c>
      <c r="K144" s="8">
        <v>0.736155</v>
      </c>
      <c r="L144" s="8">
        <v>3.9926499999999998</v>
      </c>
      <c r="M144" s="8">
        <v>5.1702000000000004</v>
      </c>
      <c r="N144" s="8">
        <v>0.113386</v>
      </c>
      <c r="O144" s="8">
        <v>0.33139400000000002</v>
      </c>
      <c r="P144" s="8">
        <v>99.296300000000002</v>
      </c>
      <c r="Q144" s="8">
        <f>100-P144</f>
        <v>0.70369999999999777</v>
      </c>
    </row>
    <row r="145" spans="1:17" x14ac:dyDescent="0.2">
      <c r="B145" s="5"/>
      <c r="C145" s="5"/>
      <c r="D145" s="28" t="s">
        <v>47</v>
      </c>
      <c r="E145" s="8">
        <v>74.134399999999999</v>
      </c>
      <c r="F145" s="8">
        <v>0.100762</v>
      </c>
      <c r="G145" s="8">
        <v>13.192</v>
      </c>
      <c r="H145" s="8">
        <v>1.74041</v>
      </c>
      <c r="I145" s="8">
        <v>6.0331000000000003E-2</v>
      </c>
      <c r="J145" s="8">
        <v>4.0438000000000002E-2</v>
      </c>
      <c r="K145" s="8">
        <v>0.70308099999999996</v>
      </c>
      <c r="L145" s="8">
        <v>3.96027</v>
      </c>
      <c r="M145" s="8">
        <v>5.3073100000000002</v>
      </c>
      <c r="N145" s="8">
        <v>1.4626E-2</v>
      </c>
      <c r="O145" s="8">
        <v>0.341472</v>
      </c>
      <c r="P145" s="8">
        <v>99.518000000000001</v>
      </c>
      <c r="Q145" s="8">
        <f>100-P145</f>
        <v>0.48199999999999932</v>
      </c>
    </row>
    <row r="146" spans="1:17" x14ac:dyDescent="0.2">
      <c r="B146" s="5"/>
      <c r="C146" s="5"/>
      <c r="D146" s="36" t="s">
        <v>20</v>
      </c>
      <c r="E146" s="16">
        <f t="shared" ref="E146:Q146" si="13">AVERAGE(E142:E145)</f>
        <v>74.174949999999995</v>
      </c>
      <c r="F146" s="16">
        <f t="shared" si="13"/>
        <v>8.5592000000000001E-2</v>
      </c>
      <c r="G146" s="16">
        <f t="shared" si="13"/>
        <v>13.068275000000002</v>
      </c>
      <c r="H146" s="16">
        <f t="shared" si="13"/>
        <v>1.6772899999999999</v>
      </c>
      <c r="I146" s="16">
        <f t="shared" si="13"/>
        <v>7.3274500000000006E-2</v>
      </c>
      <c r="J146" s="16">
        <f t="shared" si="13"/>
        <v>3.2841750000000003E-2</v>
      </c>
      <c r="K146" s="16">
        <f t="shared" si="13"/>
        <v>0.72232850000000004</v>
      </c>
      <c r="L146" s="16">
        <f t="shared" si="13"/>
        <v>4.0077024999999997</v>
      </c>
      <c r="M146" s="16">
        <f t="shared" si="13"/>
        <v>5.2510625000000006</v>
      </c>
      <c r="N146" s="16">
        <f t="shared" si="13"/>
        <v>4.937925E-2</v>
      </c>
      <c r="O146" s="16">
        <f t="shared" si="13"/>
        <v>0.32905325000000002</v>
      </c>
      <c r="P146" s="16">
        <f t="shared" si="13"/>
        <v>99.397449999999992</v>
      </c>
      <c r="Q146" s="16">
        <f t="shared" si="13"/>
        <v>0.60255000000000081</v>
      </c>
    </row>
    <row r="147" spans="1:17" x14ac:dyDescent="0.2">
      <c r="B147" s="5"/>
      <c r="C147" s="5"/>
      <c r="D147" s="36" t="s">
        <v>61</v>
      </c>
      <c r="E147" s="16">
        <f t="shared" ref="E147:Q147" si="14">STDEV(E142:E145)</f>
        <v>0.18145964657006353</v>
      </c>
      <c r="F147" s="16">
        <f t="shared" si="14"/>
        <v>1.3683888263209414E-2</v>
      </c>
      <c r="G147" s="16">
        <f t="shared" si="14"/>
        <v>0.10991376544060935</v>
      </c>
      <c r="H147" s="16">
        <f t="shared" si="14"/>
        <v>7.4144714354205041E-2</v>
      </c>
      <c r="I147" s="16">
        <f t="shared" si="14"/>
        <v>4.5389502350947457E-2</v>
      </c>
      <c r="J147" s="16">
        <f t="shared" si="14"/>
        <v>1.1050078201080742E-2</v>
      </c>
      <c r="K147" s="16">
        <f t="shared" si="14"/>
        <v>1.4818510710144494E-2</v>
      </c>
      <c r="L147" s="16">
        <f t="shared" si="14"/>
        <v>0.16186297566666272</v>
      </c>
      <c r="M147" s="16">
        <f t="shared" si="14"/>
        <v>5.9720538273416918E-2</v>
      </c>
      <c r="N147" s="16">
        <f t="shared" si="14"/>
        <v>4.3738844317722889E-2</v>
      </c>
      <c r="O147" s="16">
        <f t="shared" si="14"/>
        <v>1.5695459500016752E-2</v>
      </c>
      <c r="P147" s="16">
        <f t="shared" si="14"/>
        <v>0.3559135897002747</v>
      </c>
      <c r="Q147" s="16">
        <f t="shared" si="14"/>
        <v>0.35591358970027459</v>
      </c>
    </row>
    <row r="148" spans="1:17" x14ac:dyDescent="0.2">
      <c r="B148" s="5"/>
      <c r="C148" s="5"/>
      <c r="D148" s="2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2">
      <c r="A149" s="1" t="s">
        <v>68</v>
      </c>
      <c r="B149" s="5"/>
      <c r="C149" s="5"/>
      <c r="D149" s="28" t="s">
        <v>44</v>
      </c>
      <c r="E149" s="17">
        <v>75.284860981577083</v>
      </c>
      <c r="F149" s="17">
        <v>0.27489926007228171</v>
      </c>
      <c r="G149" s="17">
        <v>13.209374403412447</v>
      </c>
      <c r="H149" s="17">
        <v>1.6712746577575734</v>
      </c>
      <c r="I149" s="17">
        <v>4.8071323289264688E-2</v>
      </c>
      <c r="J149" s="17">
        <v>0.28069711637840528</v>
      </c>
      <c r="K149" s="17">
        <v>1.4259236723901343</v>
      </c>
      <c r="L149" s="17">
        <v>3.8113199465734104</v>
      </c>
      <c r="M149" s="17">
        <v>3.7405762382009335</v>
      </c>
      <c r="N149" s="17">
        <v>0</v>
      </c>
      <c r="O149" s="17">
        <v>0.32677382664038762</v>
      </c>
      <c r="P149" s="17">
        <v>100.00029710718206</v>
      </c>
      <c r="Q149" s="17">
        <v>4.2922123796110867</v>
      </c>
    </row>
    <row r="150" spans="1:17" x14ac:dyDescent="0.2">
      <c r="B150" s="5"/>
      <c r="C150" s="5"/>
      <c r="D150" s="28" t="s">
        <v>51</v>
      </c>
      <c r="E150" s="17">
        <v>75.075564839012458</v>
      </c>
      <c r="F150" s="17">
        <v>0.30165601762598721</v>
      </c>
      <c r="G150" s="17">
        <v>13.094970982706375</v>
      </c>
      <c r="H150" s="17">
        <v>1.6853085522479203</v>
      </c>
      <c r="I150" s="17">
        <v>3.6339762609143941E-2</v>
      </c>
      <c r="J150" s="17">
        <v>0.30279327791683197</v>
      </c>
      <c r="K150" s="17">
        <v>1.5287103374436892</v>
      </c>
      <c r="L150" s="17">
        <v>3.9226786311031505</v>
      </c>
      <c r="M150" s="17">
        <v>3.758080224137101</v>
      </c>
      <c r="N150" s="17">
        <v>7.4122076716097177E-2</v>
      </c>
      <c r="O150" s="17">
        <v>0.28381872177536005</v>
      </c>
      <c r="P150" s="17">
        <v>100.00025763673227</v>
      </c>
      <c r="Q150" s="17">
        <v>1.0780549486731275</v>
      </c>
    </row>
    <row r="151" spans="1:17" x14ac:dyDescent="0.2">
      <c r="B151" s="5"/>
      <c r="C151" s="5"/>
      <c r="D151" s="28" t="s">
        <v>52</v>
      </c>
      <c r="E151" s="17">
        <v>76.349391663710094</v>
      </c>
      <c r="F151" s="17">
        <v>0.30507771113115523</v>
      </c>
      <c r="G151" s="17">
        <v>13.134668595624888</v>
      </c>
      <c r="H151" s="17">
        <v>1.7240981759327738</v>
      </c>
      <c r="I151" s="17">
        <v>3.5772083863069654E-2</v>
      </c>
      <c r="J151" s="17">
        <v>0.31064439907508529</v>
      </c>
      <c r="K151" s="17">
        <v>1.4769546400751188</v>
      </c>
      <c r="L151" s="17">
        <v>2.8214258375531673</v>
      </c>
      <c r="M151" s="17">
        <v>3.6164590380372874</v>
      </c>
      <c r="N151" s="17">
        <v>0</v>
      </c>
      <c r="O151" s="17">
        <v>0.29127186908406283</v>
      </c>
      <c r="P151" s="17">
        <v>100.00026583720738</v>
      </c>
      <c r="Q151" s="17">
        <v>3.4973748464266663</v>
      </c>
    </row>
    <row r="152" spans="1:17" x14ac:dyDescent="0.2">
      <c r="B152" s="5"/>
      <c r="C152" s="5"/>
      <c r="D152" s="28" t="s">
        <v>53</v>
      </c>
      <c r="E152" s="17">
        <v>74.953124592939474</v>
      </c>
      <c r="F152" s="17">
        <v>0.29010244719091544</v>
      </c>
      <c r="G152" s="17">
        <v>13.435564183612131</v>
      </c>
      <c r="H152" s="17">
        <v>1.7717006752630973</v>
      </c>
      <c r="I152" s="17">
        <v>1.7864453467624875E-2</v>
      </c>
      <c r="J152" s="17">
        <v>0.28359677506797526</v>
      </c>
      <c r="K152" s="17">
        <v>1.4390343789622499</v>
      </c>
      <c r="L152" s="17">
        <v>3.6587597670814653</v>
      </c>
      <c r="M152" s="17">
        <v>3.7645470303329764</v>
      </c>
      <c r="N152" s="17">
        <v>0.16321336618218893</v>
      </c>
      <c r="O152" s="17">
        <v>0.28720735579258011</v>
      </c>
      <c r="P152" s="17">
        <v>100.00026010824028</v>
      </c>
      <c r="Q152" s="17">
        <v>3.4227381695890671</v>
      </c>
    </row>
    <row r="153" spans="1:17" x14ac:dyDescent="0.2">
      <c r="B153" s="5"/>
      <c r="C153" s="5"/>
      <c r="D153" s="36" t="s">
        <v>20</v>
      </c>
      <c r="E153" s="16">
        <f t="shared" ref="E153:Q153" si="15">AVERAGE(E149:E152)</f>
        <v>75.415735519309777</v>
      </c>
      <c r="F153" s="16">
        <f t="shared" si="15"/>
        <v>0.2929338590050849</v>
      </c>
      <c r="G153" s="16">
        <f t="shared" si="15"/>
        <v>13.218644541338961</v>
      </c>
      <c r="H153" s="16">
        <f t="shared" si="15"/>
        <v>1.7130955153003411</v>
      </c>
      <c r="I153" s="16">
        <f t="shared" si="15"/>
        <v>3.451190580727579E-2</v>
      </c>
      <c r="J153" s="16">
        <f t="shared" si="15"/>
        <v>0.29443289210957446</v>
      </c>
      <c r="K153" s="16">
        <f>AVERAGE(K149:K152)</f>
        <v>1.467655757217798</v>
      </c>
      <c r="L153" s="16">
        <f t="shared" si="15"/>
        <v>3.5535460455777983</v>
      </c>
      <c r="M153" s="16">
        <f t="shared" si="15"/>
        <v>3.7199156326770746</v>
      </c>
      <c r="N153" s="16">
        <f t="shared" si="15"/>
        <v>5.933386072457153E-2</v>
      </c>
      <c r="O153" s="16">
        <f t="shared" si="15"/>
        <v>0.29726794332309764</v>
      </c>
      <c r="P153" s="16">
        <f t="shared" si="15"/>
        <v>100.00027017234051</v>
      </c>
      <c r="Q153" s="16">
        <f t="shared" si="15"/>
        <v>3.0725950860749869</v>
      </c>
    </row>
    <row r="154" spans="1:17" x14ac:dyDescent="0.2">
      <c r="B154" s="5"/>
      <c r="C154" s="5"/>
      <c r="D154" s="36" t="s">
        <v>61</v>
      </c>
      <c r="E154" s="16">
        <f t="shared" ref="E154:Q154" si="16">STDEV(E149:E152)</f>
        <v>0.63732955931614688</v>
      </c>
      <c r="F154" s="16">
        <f t="shared" si="16"/>
        <v>1.3623666258837076E-2</v>
      </c>
      <c r="G154" s="16">
        <f t="shared" si="16"/>
        <v>0.15219195688835135</v>
      </c>
      <c r="H154" s="16">
        <f t="shared" si="16"/>
        <v>4.5006380127495214E-2</v>
      </c>
      <c r="I154" s="16">
        <f t="shared" si="16"/>
        <v>1.2462270807952753E-2</v>
      </c>
      <c r="J154" s="16">
        <f t="shared" si="16"/>
        <v>1.4592257952023874E-2</v>
      </c>
      <c r="K154" s="16">
        <f t="shared" si="16"/>
        <v>4.6097292712495387E-2</v>
      </c>
      <c r="L154" s="16">
        <f t="shared" si="16"/>
        <v>0.49992538640674816</v>
      </c>
      <c r="M154" s="16">
        <f t="shared" si="16"/>
        <v>6.9710413600608506E-2</v>
      </c>
      <c r="N154" s="16">
        <f t="shared" si="16"/>
        <v>7.7568586947932464E-2</v>
      </c>
      <c r="O154" s="16">
        <f t="shared" si="16"/>
        <v>1.9905167154224739E-2</v>
      </c>
      <c r="P154" s="16">
        <f t="shared" si="16"/>
        <v>1.8282110163275185E-5</v>
      </c>
      <c r="Q154" s="16">
        <f t="shared" si="16"/>
        <v>1.3866860647044486</v>
      </c>
    </row>
    <row r="155" spans="1:17" x14ac:dyDescent="0.2">
      <c r="B155" s="5"/>
      <c r="C155" s="5"/>
      <c r="D155" s="2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x14ac:dyDescent="0.2">
      <c r="A156" s="1" t="s">
        <v>68</v>
      </c>
      <c r="B156" s="5">
        <v>255.07599999999999</v>
      </c>
      <c r="C156" s="5">
        <v>255.096</v>
      </c>
      <c r="D156" s="28" t="s">
        <v>442</v>
      </c>
      <c r="E156" s="17">
        <v>74.199692049413073</v>
      </c>
      <c r="F156" s="17">
        <v>0.52449264868714607</v>
      </c>
      <c r="G156" s="17">
        <v>13.426090809003854</v>
      </c>
      <c r="H156" s="17">
        <v>2.325358784125906</v>
      </c>
      <c r="I156" s="17">
        <v>2.1523525375180794E-2</v>
      </c>
      <c r="J156" s="17">
        <v>0.44303346254647347</v>
      </c>
      <c r="K156" s="17">
        <v>1.8666557960606389</v>
      </c>
      <c r="L156" s="17">
        <v>4.0841924424090461</v>
      </c>
      <c r="M156" s="17">
        <v>2.7801119406846762</v>
      </c>
      <c r="N156" s="17">
        <v>0.15364554871878194</v>
      </c>
      <c r="O156" s="17">
        <v>0.22582692322612058</v>
      </c>
      <c r="P156" s="17">
        <v>100</v>
      </c>
      <c r="Q156" s="17">
        <v>-0.23915517519523632</v>
      </c>
    </row>
    <row r="157" spans="1:17" x14ac:dyDescent="0.2">
      <c r="D157" s="28" t="s">
        <v>443</v>
      </c>
      <c r="E157" s="17">
        <v>77.130459965002345</v>
      </c>
      <c r="F157" s="17">
        <v>0.33517678830435355</v>
      </c>
      <c r="G157" s="17">
        <v>12.141380817985571</v>
      </c>
      <c r="H157" s="17">
        <v>1.6520733592563768</v>
      </c>
      <c r="I157" s="17">
        <v>2.757874299816088E-2</v>
      </c>
      <c r="J157" s="17">
        <v>0.27543158173691434</v>
      </c>
      <c r="K157" s="17">
        <v>1.2106703255329794</v>
      </c>
      <c r="L157" s="17">
        <v>4.0653696222411408</v>
      </c>
      <c r="M157" s="17">
        <v>3.02592980781231</v>
      </c>
      <c r="N157" s="17">
        <v>0</v>
      </c>
      <c r="O157" s="17">
        <v>0.17561866927182548</v>
      </c>
      <c r="P157" s="17">
        <v>100</v>
      </c>
      <c r="Q157" s="17">
        <v>0.80040993230039703</v>
      </c>
    </row>
    <row r="158" spans="1:17" x14ac:dyDescent="0.2">
      <c r="B158" s="5"/>
      <c r="C158" s="5"/>
      <c r="D158" s="28" t="s">
        <v>444</v>
      </c>
      <c r="E158" s="17">
        <v>77.766699623024095</v>
      </c>
      <c r="F158" s="17">
        <v>0.11043217224487173</v>
      </c>
      <c r="G158" s="17">
        <v>12.184516271783075</v>
      </c>
      <c r="H158" s="17">
        <v>1.1325902185448382</v>
      </c>
      <c r="I158" s="17">
        <v>5.64917384631662E-2</v>
      </c>
      <c r="J158" s="17">
        <v>8.7599151829986316E-2</v>
      </c>
      <c r="K158" s="17">
        <v>0.69023903938095088</v>
      </c>
      <c r="L158" s="17">
        <v>4.5499406542928877</v>
      </c>
      <c r="M158" s="17">
        <v>3.2865797076764363</v>
      </c>
      <c r="N158" s="17">
        <v>0</v>
      </c>
      <c r="O158" s="17">
        <v>0.17419769342818178</v>
      </c>
      <c r="P158" s="17">
        <v>100</v>
      </c>
      <c r="Q158" s="17">
        <v>0.56068103369258893</v>
      </c>
    </row>
    <row r="159" spans="1:17" x14ac:dyDescent="0.2">
      <c r="B159" s="5"/>
      <c r="C159" s="5"/>
      <c r="D159" s="28" t="s">
        <v>445</v>
      </c>
      <c r="E159" s="17">
        <v>77.895958811594355</v>
      </c>
      <c r="F159" s="17">
        <v>0.16661468203437493</v>
      </c>
      <c r="G159" s="17">
        <v>11.938909892592852</v>
      </c>
      <c r="H159" s="17">
        <v>1.13487656523384</v>
      </c>
      <c r="I159" s="17">
        <v>3.3229845491533141E-2</v>
      </c>
      <c r="J159" s="17">
        <v>0.12908840992205342</v>
      </c>
      <c r="K159" s="17">
        <v>0.74926751112747936</v>
      </c>
      <c r="L159" s="17">
        <v>4.6132767988043257</v>
      </c>
      <c r="M159" s="17">
        <v>3.172197910885048</v>
      </c>
      <c r="N159" s="17">
        <v>2.5886898289998916E-2</v>
      </c>
      <c r="O159" s="17">
        <v>0.18181418148760534</v>
      </c>
      <c r="P159" s="17">
        <v>100</v>
      </c>
      <c r="Q159" s="17">
        <v>0.31250669389839913</v>
      </c>
    </row>
    <row r="160" spans="1:17" x14ac:dyDescent="0.2">
      <c r="B160" s="5"/>
      <c r="C160" s="5"/>
      <c r="D160" s="28" t="s">
        <v>446</v>
      </c>
      <c r="E160" s="17">
        <v>77.907668923066993</v>
      </c>
      <c r="F160" s="17">
        <v>0.21024740930447153</v>
      </c>
      <c r="G160" s="17">
        <v>11.987366375116697</v>
      </c>
      <c r="H160" s="17">
        <v>1.1414437426384103</v>
      </c>
      <c r="I160" s="17">
        <v>4.0825870043544578E-2</v>
      </c>
      <c r="J160" s="17">
        <v>0.11870735495289882</v>
      </c>
      <c r="K160" s="17">
        <v>0.69669942026547516</v>
      </c>
      <c r="L160" s="17">
        <v>4.5741173182079198</v>
      </c>
      <c r="M160" s="17">
        <v>3.1493804819362885</v>
      </c>
      <c r="N160" s="17">
        <v>2.6121469882045719E-2</v>
      </c>
      <c r="O160" s="17">
        <v>0.19048697950881371</v>
      </c>
      <c r="P160" s="17">
        <v>100</v>
      </c>
      <c r="Q160" s="17">
        <v>1.2268447506699829</v>
      </c>
    </row>
    <row r="161" spans="2:17" x14ac:dyDescent="0.2">
      <c r="B161" s="5"/>
      <c r="C161" s="5"/>
      <c r="D161" s="28" t="s">
        <v>447</v>
      </c>
      <c r="E161" s="17">
        <v>77.980520989466598</v>
      </c>
      <c r="F161" s="17">
        <v>0.16121110231848604</v>
      </c>
      <c r="G161" s="17">
        <v>12.173183910176839</v>
      </c>
      <c r="H161" s="17">
        <v>1.0843885959103168</v>
      </c>
      <c r="I161" s="17">
        <v>6.5196406627939171E-2</v>
      </c>
      <c r="J161" s="17">
        <v>0.10935499192629147</v>
      </c>
      <c r="K161" s="17">
        <v>0.68485523059287845</v>
      </c>
      <c r="L161" s="17">
        <v>4.541620344473313</v>
      </c>
      <c r="M161" s="17">
        <v>3.0727851068126939</v>
      </c>
      <c r="N161" s="17">
        <v>0</v>
      </c>
      <c r="O161" s="17">
        <v>0.16389607477797821</v>
      </c>
      <c r="P161" s="17">
        <v>100</v>
      </c>
      <c r="Q161" s="17">
        <v>0.66937221008151937</v>
      </c>
    </row>
    <row r="162" spans="2:17" x14ac:dyDescent="0.2">
      <c r="B162" s="5"/>
      <c r="C162" s="5"/>
      <c r="D162" s="28" t="s">
        <v>448</v>
      </c>
      <c r="E162" s="17">
        <v>77.99595445187019</v>
      </c>
      <c r="F162" s="17">
        <v>0.16545021101159474</v>
      </c>
      <c r="G162" s="17">
        <v>12.149502139845463</v>
      </c>
      <c r="H162" s="17">
        <v>1.2061517520461438</v>
      </c>
      <c r="I162" s="17">
        <v>2.3131828610461997E-2</v>
      </c>
      <c r="J162" s="17">
        <v>0.11416029446211914</v>
      </c>
      <c r="K162" s="17">
        <v>0.71141935380117061</v>
      </c>
      <c r="L162" s="17">
        <v>4.1962543649393762</v>
      </c>
      <c r="M162" s="17">
        <v>3.1977896314395813</v>
      </c>
      <c r="N162" s="17">
        <v>0.11467295284872389</v>
      </c>
      <c r="O162" s="17">
        <v>0.16241439050696457</v>
      </c>
      <c r="P162" s="17">
        <v>100</v>
      </c>
      <c r="Q162" s="17">
        <v>0.32348765729723539</v>
      </c>
    </row>
    <row r="163" spans="2:17" x14ac:dyDescent="0.2">
      <c r="B163" s="5"/>
      <c r="C163" s="5"/>
      <c r="D163" s="28" t="s">
        <v>449</v>
      </c>
      <c r="E163" s="17">
        <v>78.034749538817465</v>
      </c>
      <c r="F163" s="17">
        <v>0.16114365450760651</v>
      </c>
      <c r="G163" s="17">
        <v>12.094502421806673</v>
      </c>
      <c r="H163" s="17">
        <v>1.1753518871006357</v>
      </c>
      <c r="I163" s="17">
        <v>2.4618428801953782E-2</v>
      </c>
      <c r="J163" s="17">
        <v>9.4404852772180789E-2</v>
      </c>
      <c r="K163" s="17">
        <v>0.69421896556668572</v>
      </c>
      <c r="L163" s="17">
        <v>4.2222496953555231</v>
      </c>
      <c r="M163" s="17">
        <v>3.1619142849692916</v>
      </c>
      <c r="N163" s="17">
        <v>0.1519967632112782</v>
      </c>
      <c r="O163" s="17">
        <v>0.23879211880227635</v>
      </c>
      <c r="P163" s="17">
        <v>100</v>
      </c>
      <c r="Q163" s="17">
        <v>0.61104144039381936</v>
      </c>
    </row>
    <row r="164" spans="2:17" x14ac:dyDescent="0.2">
      <c r="B164" s="5"/>
      <c r="C164" s="5"/>
      <c r="D164" s="28" t="s">
        <v>450</v>
      </c>
      <c r="E164" s="17">
        <v>78.040932197632401</v>
      </c>
      <c r="F164" s="17">
        <v>0.13369343457324462</v>
      </c>
      <c r="G164" s="17">
        <v>12.300018524949197</v>
      </c>
      <c r="H164" s="17">
        <v>1.1165043050419778</v>
      </c>
      <c r="I164" s="17">
        <v>1.3108865574355366E-2</v>
      </c>
      <c r="J164" s="17">
        <v>9.0154682880534576E-2</v>
      </c>
      <c r="K164" s="17">
        <v>0.72041202633552803</v>
      </c>
      <c r="L164" s="17">
        <v>4.3259256395372709</v>
      </c>
      <c r="M164" s="17">
        <v>3.0817146678313345</v>
      </c>
      <c r="N164" s="17">
        <v>1.4923612456089568E-2</v>
      </c>
      <c r="O164" s="17">
        <v>0.21003823761574389</v>
      </c>
      <c r="P164" s="17">
        <v>100</v>
      </c>
      <c r="Q164" s="17">
        <v>1.1432383184136512</v>
      </c>
    </row>
    <row r="165" spans="2:17" x14ac:dyDescent="0.2">
      <c r="B165" s="5"/>
      <c r="C165" s="5"/>
      <c r="D165" s="28" t="s">
        <v>451</v>
      </c>
      <c r="E165" s="17">
        <v>78.073503133054288</v>
      </c>
      <c r="F165" s="17">
        <v>0.16855995076680169</v>
      </c>
      <c r="G165" s="17">
        <v>12.041460515373435</v>
      </c>
      <c r="H165" s="17">
        <v>1.1563040939480134</v>
      </c>
      <c r="I165" s="17">
        <v>4.0933030988571935E-2</v>
      </c>
      <c r="J165" s="17">
        <v>8.4667581487305923E-2</v>
      </c>
      <c r="K165" s="17">
        <v>0.71667556871515936</v>
      </c>
      <c r="L165" s="17">
        <v>4.4008918798461556</v>
      </c>
      <c r="M165" s="17">
        <v>3.153302562135917</v>
      </c>
      <c r="N165" s="17">
        <v>1.1225356878276971E-2</v>
      </c>
      <c r="O165" s="17">
        <v>0.1968247560819317</v>
      </c>
      <c r="P165" s="17">
        <v>100</v>
      </c>
      <c r="Q165" s="17">
        <v>1.4463404597065477</v>
      </c>
    </row>
    <row r="166" spans="2:17" x14ac:dyDescent="0.2">
      <c r="B166" s="5"/>
      <c r="C166" s="5"/>
      <c r="D166" s="28" t="s">
        <v>452</v>
      </c>
      <c r="E166" s="17">
        <v>78.08127373422839</v>
      </c>
      <c r="F166" s="17">
        <v>0.12892854927273906</v>
      </c>
      <c r="G166" s="17">
        <v>12.160899573387761</v>
      </c>
      <c r="H166" s="17">
        <v>1.1329868223407367</v>
      </c>
      <c r="I166" s="17">
        <v>3.9122445361277479E-2</v>
      </c>
      <c r="J166" s="17">
        <v>8.8259110185644793E-2</v>
      </c>
      <c r="K166" s="17">
        <v>0.68029300554713168</v>
      </c>
      <c r="L166" s="17">
        <v>4.408399019309579</v>
      </c>
      <c r="M166" s="17">
        <v>3.1118189328583532</v>
      </c>
      <c r="N166" s="17">
        <v>2.5971992844158527E-2</v>
      </c>
      <c r="O166" s="17">
        <v>0.18357323597134101</v>
      </c>
      <c r="P166" s="17">
        <v>100</v>
      </c>
      <c r="Q166" s="17">
        <v>0.5813679568777701</v>
      </c>
    </row>
    <row r="167" spans="2:17" x14ac:dyDescent="0.2">
      <c r="B167" s="5"/>
      <c r="C167" s="5"/>
      <c r="D167" s="28" t="s">
        <v>453</v>
      </c>
      <c r="E167" s="17">
        <v>78.094422343736738</v>
      </c>
      <c r="F167" s="17">
        <v>0.12687015999527418</v>
      </c>
      <c r="G167" s="17">
        <v>12.098796589574404</v>
      </c>
      <c r="H167" s="17">
        <v>1.0997299184878739</v>
      </c>
      <c r="I167" s="17">
        <v>6.3956740926965266E-2</v>
      </c>
      <c r="J167" s="17">
        <v>0.1043816754794538</v>
      </c>
      <c r="K167" s="17">
        <v>0.64820183189274383</v>
      </c>
      <c r="L167" s="17">
        <v>4.3419662183758598</v>
      </c>
      <c r="M167" s="17">
        <v>3.2067956682928238</v>
      </c>
      <c r="N167" s="17">
        <v>4.0952150438469781E-2</v>
      </c>
      <c r="O167" s="17">
        <v>0.22461113729402557</v>
      </c>
      <c r="P167" s="17">
        <v>100</v>
      </c>
      <c r="Q167" s="17">
        <v>0.9893264068721237</v>
      </c>
    </row>
    <row r="168" spans="2:17" x14ac:dyDescent="0.2">
      <c r="B168" s="5"/>
      <c r="C168" s="5"/>
      <c r="D168" s="28" t="s">
        <v>454</v>
      </c>
      <c r="E168" s="17">
        <v>78.101882077372537</v>
      </c>
      <c r="F168" s="17">
        <v>0.1781420962266084</v>
      </c>
      <c r="G168" s="17">
        <v>11.934358105037148</v>
      </c>
      <c r="H168" s="17">
        <v>1.1886770926601677</v>
      </c>
      <c r="I168" s="17">
        <v>5.8319605912407618E-3</v>
      </c>
      <c r="J168" s="17">
        <v>8.6389966230386583E-2</v>
      </c>
      <c r="K168" s="17">
        <v>0.73558944184446162</v>
      </c>
      <c r="L168" s="17">
        <v>4.324003906073326</v>
      </c>
      <c r="M168" s="17">
        <v>3.199566400798679</v>
      </c>
      <c r="N168" s="17">
        <v>5.2250721922147698E-2</v>
      </c>
      <c r="O168" s="17">
        <v>0.24966967538775486</v>
      </c>
      <c r="P168" s="17">
        <v>100</v>
      </c>
      <c r="Q168" s="17">
        <v>1.233900505926627</v>
      </c>
    </row>
    <row r="169" spans="2:17" x14ac:dyDescent="0.2">
      <c r="B169" s="5"/>
      <c r="C169" s="5"/>
      <c r="D169" s="28" t="s">
        <v>455</v>
      </c>
      <c r="E169" s="17">
        <v>78.117300549098672</v>
      </c>
      <c r="F169" s="17">
        <v>0.16881795865283561</v>
      </c>
      <c r="G169" s="17">
        <v>12.058076661106426</v>
      </c>
      <c r="H169" s="17">
        <v>1.1518545591744418</v>
      </c>
      <c r="I169" s="17">
        <v>3.8125437327356078E-2</v>
      </c>
      <c r="J169" s="17">
        <v>0.11772993370164531</v>
      </c>
      <c r="K169" s="17">
        <v>0.70290384555665308</v>
      </c>
      <c r="L169" s="17">
        <v>4.2292986600543419</v>
      </c>
      <c r="M169" s="17">
        <v>3.1620400247090106</v>
      </c>
      <c r="N169" s="17">
        <v>9.0081638098515812E-2</v>
      </c>
      <c r="O169" s="17">
        <v>0.21144406828488665</v>
      </c>
      <c r="P169" s="17">
        <v>100</v>
      </c>
      <c r="Q169" s="17">
        <v>1.7480122828070108</v>
      </c>
    </row>
    <row r="170" spans="2:17" x14ac:dyDescent="0.2">
      <c r="B170" s="5"/>
      <c r="C170" s="5"/>
      <c r="D170" s="28" t="s">
        <v>456</v>
      </c>
      <c r="E170" s="17">
        <v>78.13724606650544</v>
      </c>
      <c r="F170" s="17">
        <v>0.16355538549516635</v>
      </c>
      <c r="G170" s="17">
        <v>11.967775557708512</v>
      </c>
      <c r="H170" s="17">
        <v>1.0754905323840849</v>
      </c>
      <c r="I170" s="17">
        <v>8.3748142858689228E-2</v>
      </c>
      <c r="J170" s="17">
        <v>9.6928287008180083E-2</v>
      </c>
      <c r="K170" s="17">
        <v>0.69114942244883248</v>
      </c>
      <c r="L170" s="17">
        <v>4.3931004635958466</v>
      </c>
      <c r="M170" s="17">
        <v>3.2517021414724212</v>
      </c>
      <c r="N170" s="17">
        <v>0</v>
      </c>
      <c r="O170" s="17">
        <v>0.17938219328676402</v>
      </c>
      <c r="P170" s="17">
        <v>100</v>
      </c>
      <c r="Q170" s="17">
        <v>0.32734201539464891</v>
      </c>
    </row>
    <row r="171" spans="2:17" x14ac:dyDescent="0.2">
      <c r="B171" s="5"/>
      <c r="C171" s="5"/>
      <c r="D171" s="28" t="s">
        <v>457</v>
      </c>
      <c r="E171" s="17">
        <v>78.148208904292758</v>
      </c>
      <c r="F171" s="17">
        <v>0.22553950621718905</v>
      </c>
      <c r="G171" s="17">
        <v>12.10347394872897</v>
      </c>
      <c r="H171" s="17">
        <v>1.1414264941869057</v>
      </c>
      <c r="I171" s="17">
        <v>4.7733621908465362E-2</v>
      </c>
      <c r="J171" s="17">
        <v>0.13417739805801529</v>
      </c>
      <c r="K171" s="17">
        <v>0.90376233075799461</v>
      </c>
      <c r="L171" s="17">
        <v>3.9373863016663737</v>
      </c>
      <c r="M171" s="17">
        <v>3.1226844163408001</v>
      </c>
      <c r="N171" s="17">
        <v>3.7006457686618047E-2</v>
      </c>
      <c r="O171" s="17">
        <v>0.25688872755470937</v>
      </c>
      <c r="P171" s="17">
        <v>100</v>
      </c>
      <c r="Q171" s="17">
        <v>0.39306028112669367</v>
      </c>
    </row>
    <row r="172" spans="2:17" x14ac:dyDescent="0.2">
      <c r="B172" s="5"/>
      <c r="C172" s="5"/>
      <c r="D172" s="28" t="s">
        <v>458</v>
      </c>
      <c r="E172" s="17">
        <v>78.166811648994766</v>
      </c>
      <c r="F172" s="17">
        <v>0.21379508121002885</v>
      </c>
      <c r="G172" s="17">
        <v>12.154905204390271</v>
      </c>
      <c r="H172" s="17">
        <v>1.1433391760988629</v>
      </c>
      <c r="I172" s="17">
        <v>3.9256918086172488E-2</v>
      </c>
      <c r="J172" s="17">
        <v>0.10608934856535981</v>
      </c>
      <c r="K172" s="17">
        <v>0.64243286256148868</v>
      </c>
      <c r="L172" s="17">
        <v>4.1278307401353587</v>
      </c>
      <c r="M172" s="17">
        <v>3.1727413234152886</v>
      </c>
      <c r="N172" s="17">
        <v>8.936987574500535E-2</v>
      </c>
      <c r="O172" s="17">
        <v>0.1853255063731461</v>
      </c>
      <c r="P172" s="17">
        <v>100</v>
      </c>
      <c r="Q172" s="17">
        <v>1.0136253826625392</v>
      </c>
    </row>
    <row r="173" spans="2:17" x14ac:dyDescent="0.2">
      <c r="B173" s="5"/>
      <c r="C173" s="5"/>
      <c r="D173" s="28" t="s">
        <v>459</v>
      </c>
      <c r="E173" s="17">
        <v>78.179558117055407</v>
      </c>
      <c r="F173" s="17">
        <v>6.2219031929888868E-2</v>
      </c>
      <c r="G173" s="17">
        <v>12.086260818541804</v>
      </c>
      <c r="H173" s="17">
        <v>1.1507067515275686</v>
      </c>
      <c r="I173" s="17">
        <v>2.7833625495733798E-2</v>
      </c>
      <c r="J173" s="17">
        <v>0.12968477804707426</v>
      </c>
      <c r="K173" s="17">
        <v>0.67449572647705369</v>
      </c>
      <c r="L173" s="17">
        <v>4.4037102356249509</v>
      </c>
      <c r="M173" s="17">
        <v>3.0703963068339371</v>
      </c>
      <c r="N173" s="17">
        <v>7.5049984384049098E-2</v>
      </c>
      <c r="O173" s="17">
        <v>0.18095264190010496</v>
      </c>
      <c r="P173" s="17">
        <v>100</v>
      </c>
      <c r="Q173" s="17">
        <v>1.6908522959250547</v>
      </c>
    </row>
    <row r="174" spans="2:17" x14ac:dyDescent="0.2">
      <c r="B174" s="5"/>
      <c r="C174" s="5"/>
      <c r="D174" s="28" t="s">
        <v>460</v>
      </c>
      <c r="E174" s="17">
        <v>78.187706300324209</v>
      </c>
      <c r="F174" s="17">
        <v>0.12122048961174529</v>
      </c>
      <c r="G174" s="17">
        <v>12.060136310442907</v>
      </c>
      <c r="H174" s="17">
        <v>1.0729217979748267</v>
      </c>
      <c r="I174" s="17">
        <v>7.3343070212916084E-2</v>
      </c>
      <c r="J174" s="17">
        <v>0.10244201605677987</v>
      </c>
      <c r="K174" s="17">
        <v>0.70211288020068818</v>
      </c>
      <c r="L174" s="17">
        <v>4.3192525776773509</v>
      </c>
      <c r="M174" s="17">
        <v>3.1545905456440817</v>
      </c>
      <c r="N174" s="17">
        <v>4.8809164060333123E-2</v>
      </c>
      <c r="O174" s="17">
        <v>0.20336269164985829</v>
      </c>
      <c r="P174" s="17">
        <v>100</v>
      </c>
      <c r="Q174" s="17">
        <v>1.7971298571081036</v>
      </c>
    </row>
    <row r="175" spans="2:17" x14ac:dyDescent="0.2">
      <c r="B175" s="5"/>
      <c r="C175" s="5"/>
      <c r="D175" s="28" t="s">
        <v>461</v>
      </c>
      <c r="E175" s="17">
        <v>78.187821817085819</v>
      </c>
      <c r="F175" s="17">
        <v>0.181878763294721</v>
      </c>
      <c r="G175" s="17">
        <v>12.116963250542884</v>
      </c>
      <c r="H175" s="17">
        <v>1.1417047039296797</v>
      </c>
      <c r="I175" s="17">
        <v>8.7710248133970534E-3</v>
      </c>
      <c r="J175" s="17">
        <v>8.756715956533824E-2</v>
      </c>
      <c r="K175" s="17">
        <v>0.76117740005904067</v>
      </c>
      <c r="L175" s="17">
        <v>4.3544794391185562</v>
      </c>
      <c r="M175" s="17">
        <v>2.9647954776778334</v>
      </c>
      <c r="N175" s="17">
        <v>0</v>
      </c>
      <c r="O175" s="17">
        <v>0.25159638503258719</v>
      </c>
      <c r="P175" s="17">
        <v>100</v>
      </c>
      <c r="Q175" s="17">
        <v>1.4596334649687179</v>
      </c>
    </row>
    <row r="176" spans="2:17" x14ac:dyDescent="0.2">
      <c r="B176" s="5"/>
      <c r="C176" s="5"/>
      <c r="D176" s="28" t="s">
        <v>462</v>
      </c>
      <c r="E176" s="17">
        <v>78.208892424062356</v>
      </c>
      <c r="F176" s="17">
        <v>0.12869453157192029</v>
      </c>
      <c r="G176" s="17">
        <v>12.133045672765576</v>
      </c>
      <c r="H176" s="17">
        <v>1.1216021373228768</v>
      </c>
      <c r="I176" s="17">
        <v>6.1094546856120396E-2</v>
      </c>
      <c r="J176" s="17">
        <v>8.5437410449685045E-2</v>
      </c>
      <c r="K176" s="17">
        <v>0.68883091419117415</v>
      </c>
      <c r="L176" s="17">
        <v>4.2433637745960286</v>
      </c>
      <c r="M176" s="17">
        <v>3.145765049227474</v>
      </c>
      <c r="N176" s="17">
        <v>2.9804804976683731E-2</v>
      </c>
      <c r="O176" s="17">
        <v>0.19817139571990716</v>
      </c>
      <c r="P176" s="17">
        <v>100</v>
      </c>
      <c r="Q176" s="17">
        <v>1.0058947774302567</v>
      </c>
    </row>
    <row r="177" spans="1:17" x14ac:dyDescent="0.2">
      <c r="B177" s="5"/>
      <c r="C177" s="5"/>
      <c r="D177" s="28" t="s">
        <v>463</v>
      </c>
      <c r="E177" s="17">
        <v>78.22800026171214</v>
      </c>
      <c r="F177" s="17">
        <v>0.13263019216916502</v>
      </c>
      <c r="G177" s="17">
        <v>12.104769500356371</v>
      </c>
      <c r="H177" s="17">
        <v>1.0964067485080493</v>
      </c>
      <c r="I177" s="17">
        <v>3.5029471898943954E-2</v>
      </c>
      <c r="J177" s="17">
        <v>7.8582257895667723E-2</v>
      </c>
      <c r="K177" s="17">
        <v>0.67250804433410527</v>
      </c>
      <c r="L177" s="17">
        <v>4.4185010401953591</v>
      </c>
      <c r="M177" s="17">
        <v>3.0839108773353856</v>
      </c>
      <c r="N177" s="17">
        <v>7.4795808826643318E-3</v>
      </c>
      <c r="O177" s="17">
        <v>0.18373964721604463</v>
      </c>
      <c r="P177" s="17">
        <v>100</v>
      </c>
      <c r="Q177" s="17">
        <v>1.4115882202576415</v>
      </c>
    </row>
    <row r="178" spans="1:17" x14ac:dyDescent="0.2">
      <c r="B178" s="5"/>
      <c r="C178" s="5"/>
      <c r="D178" s="28" t="s">
        <v>464</v>
      </c>
      <c r="E178" s="17">
        <v>78.297817192796742</v>
      </c>
      <c r="F178" s="17">
        <v>0.14232343974072056</v>
      </c>
      <c r="G178" s="17">
        <v>12.082370914383922</v>
      </c>
      <c r="H178" s="17">
        <v>1.0496326887869776</v>
      </c>
      <c r="I178" s="17">
        <v>2.6454140600549309E-2</v>
      </c>
      <c r="J178" s="17">
        <v>0.11059337303614164</v>
      </c>
      <c r="K178" s="17">
        <v>0.68473436996923798</v>
      </c>
      <c r="L178" s="17">
        <v>4.307121542187514</v>
      </c>
      <c r="M178" s="17">
        <v>3.1083963802730543</v>
      </c>
      <c r="N178" s="17">
        <v>3.7642900893134447E-3</v>
      </c>
      <c r="O178" s="17">
        <v>0.24117790271254713</v>
      </c>
      <c r="P178" s="17">
        <v>100</v>
      </c>
      <c r="Q178" s="17">
        <v>2.0266793340403524</v>
      </c>
    </row>
    <row r="179" spans="1:17" x14ac:dyDescent="0.2">
      <c r="B179" s="5"/>
      <c r="C179" s="5"/>
      <c r="D179" s="28" t="s">
        <v>465</v>
      </c>
      <c r="E179" s="17">
        <v>78.325636846092166</v>
      </c>
      <c r="F179" s="17">
        <v>0.16962086608689089</v>
      </c>
      <c r="G179" s="17">
        <v>11.99588399553341</v>
      </c>
      <c r="H179" s="17">
        <v>1.1618625264580529</v>
      </c>
      <c r="I179" s="17">
        <v>6.6513183815897034E-2</v>
      </c>
      <c r="J179" s="17">
        <v>0.12851191176938026</v>
      </c>
      <c r="K179" s="17">
        <v>0.70109188339969197</v>
      </c>
      <c r="L179" s="17">
        <v>4.0431635355898301</v>
      </c>
      <c r="M179" s="17">
        <v>3.242352851204803</v>
      </c>
      <c r="N179" s="17">
        <v>0</v>
      </c>
      <c r="O179" s="17">
        <v>0.21307187633658103</v>
      </c>
      <c r="P179" s="17">
        <v>100</v>
      </c>
      <c r="Q179" s="17">
        <v>0.38666592266714872</v>
      </c>
    </row>
    <row r="180" spans="1:17" x14ac:dyDescent="0.2">
      <c r="B180" s="5"/>
      <c r="C180" s="5"/>
      <c r="D180" s="28" t="s">
        <v>466</v>
      </c>
      <c r="E180" s="17">
        <v>78.334452301185792</v>
      </c>
      <c r="F180" s="17">
        <v>0.14596874718753083</v>
      </c>
      <c r="G180" s="17">
        <v>11.954265303967251</v>
      </c>
      <c r="H180" s="17">
        <v>1.1647015455870113</v>
      </c>
      <c r="I180" s="17">
        <v>7.2149564525420566E-3</v>
      </c>
      <c r="J180" s="17">
        <v>9.8467359118466602E-2</v>
      </c>
      <c r="K180" s="17">
        <v>0.72050089378778148</v>
      </c>
      <c r="L180" s="17">
        <v>4.3865731903068896</v>
      </c>
      <c r="M180" s="17">
        <v>3.0087232248788998</v>
      </c>
      <c r="N180" s="17">
        <v>0</v>
      </c>
      <c r="O180" s="17">
        <v>0.23110824164849411</v>
      </c>
      <c r="P180" s="17">
        <v>100</v>
      </c>
      <c r="Q180" s="17">
        <v>0.27659837828993261</v>
      </c>
    </row>
    <row r="181" spans="1:17" x14ac:dyDescent="0.2">
      <c r="B181" s="5"/>
      <c r="C181" s="5"/>
      <c r="D181" s="28" t="s">
        <v>467</v>
      </c>
      <c r="E181" s="17">
        <v>78.341560893897096</v>
      </c>
      <c r="F181" s="17">
        <v>0.15364092604842103</v>
      </c>
      <c r="G181" s="17">
        <v>11.971071454847067</v>
      </c>
      <c r="H181" s="17">
        <v>1.1558380704886491</v>
      </c>
      <c r="I181" s="17">
        <v>4.5251089843455182E-2</v>
      </c>
      <c r="J181" s="17">
        <v>0.10937368771051881</v>
      </c>
      <c r="K181" s="17">
        <v>0.76516796395771569</v>
      </c>
      <c r="L181" s="17">
        <v>3.9667048615594327</v>
      </c>
      <c r="M181" s="17">
        <v>3.2184984066552826</v>
      </c>
      <c r="N181" s="17">
        <v>7.8440626317082998E-2</v>
      </c>
      <c r="O181" s="17">
        <v>0.25115064127848713</v>
      </c>
      <c r="P181" s="17">
        <v>100</v>
      </c>
      <c r="Q181" s="17">
        <v>1.3062444363219612</v>
      </c>
    </row>
    <row r="182" spans="1:17" x14ac:dyDescent="0.2">
      <c r="B182" s="5"/>
      <c r="C182" s="5"/>
      <c r="D182" s="28" t="s">
        <v>468</v>
      </c>
      <c r="E182" s="17">
        <v>78.386655610565754</v>
      </c>
      <c r="F182" s="17">
        <v>0.18441854060705704</v>
      </c>
      <c r="G182" s="17">
        <v>12.081644279248886</v>
      </c>
      <c r="H182" s="17">
        <v>1.0988256132603649</v>
      </c>
      <c r="I182" s="17">
        <v>0</v>
      </c>
      <c r="J182" s="17">
        <v>8.2497040214904324E-2</v>
      </c>
      <c r="K182" s="17">
        <v>0.71939309476350621</v>
      </c>
      <c r="L182" s="17">
        <v>4.2472000913300407</v>
      </c>
      <c r="M182" s="17">
        <v>3.0258678583331675</v>
      </c>
      <c r="N182" s="17">
        <v>0</v>
      </c>
      <c r="O182" s="17">
        <v>0.22405818040577208</v>
      </c>
      <c r="P182" s="17">
        <v>100</v>
      </c>
      <c r="Q182" s="17">
        <v>1.6085913039393773</v>
      </c>
    </row>
    <row r="183" spans="1:17" x14ac:dyDescent="0.2">
      <c r="B183" s="5"/>
      <c r="C183" s="5"/>
      <c r="D183" s="28" t="s">
        <v>469</v>
      </c>
      <c r="E183" s="17">
        <v>78.429077911802409</v>
      </c>
      <c r="F183" s="17">
        <v>0.12967880854435995</v>
      </c>
      <c r="G183" s="17">
        <v>12.109849339992682</v>
      </c>
      <c r="H183" s="17">
        <v>1.0171919047952696</v>
      </c>
      <c r="I183" s="17">
        <v>0</v>
      </c>
      <c r="J183" s="17">
        <v>9.2021498494809437E-2</v>
      </c>
      <c r="K183" s="17">
        <v>0.71533422607494346</v>
      </c>
      <c r="L183" s="17">
        <v>4.2649605144926817</v>
      </c>
      <c r="M183" s="17">
        <v>3.0789653079344514</v>
      </c>
      <c r="N183" s="17">
        <v>2.6440522279861208E-2</v>
      </c>
      <c r="O183" s="17">
        <v>0.17622678774201597</v>
      </c>
      <c r="P183" s="17">
        <v>100</v>
      </c>
      <c r="Q183" s="17">
        <v>2.3695533440290859</v>
      </c>
    </row>
    <row r="184" spans="1:17" x14ac:dyDescent="0.2">
      <c r="B184" s="5"/>
      <c r="C184" s="5"/>
      <c r="D184" s="28" t="s">
        <v>470</v>
      </c>
      <c r="E184" s="17">
        <v>78.449974324919197</v>
      </c>
      <c r="F184" s="17">
        <v>0.13914736731867761</v>
      </c>
      <c r="G184" s="17">
        <v>12.027351300183103</v>
      </c>
      <c r="H184" s="17">
        <v>1.1551795974045564</v>
      </c>
      <c r="I184" s="17">
        <v>3.9296896718627655E-2</v>
      </c>
      <c r="J184" s="17">
        <v>0.11159200426788556</v>
      </c>
      <c r="K184" s="17">
        <v>0.73427982875211595</v>
      </c>
      <c r="L184" s="17">
        <v>3.9956235204547967</v>
      </c>
      <c r="M184" s="17">
        <v>3.2000997038576799</v>
      </c>
      <c r="N184" s="17">
        <v>3.7251161052072488E-3</v>
      </c>
      <c r="O184" s="17">
        <v>0.1855473166378061</v>
      </c>
      <c r="P184" s="17">
        <v>100</v>
      </c>
      <c r="Q184" s="17">
        <v>0.91584005018150094</v>
      </c>
    </row>
    <row r="185" spans="1:17" x14ac:dyDescent="0.2">
      <c r="B185" s="5"/>
      <c r="C185" s="5"/>
      <c r="D185" s="28" t="s">
        <v>471</v>
      </c>
      <c r="E185" s="17">
        <v>78.526137849773676</v>
      </c>
      <c r="F185" s="17">
        <v>0.17896223366410632</v>
      </c>
      <c r="G185" s="17">
        <v>11.925826350591366</v>
      </c>
      <c r="H185" s="17">
        <v>0.9827036014226459</v>
      </c>
      <c r="I185" s="17">
        <v>2.0284723717138072E-2</v>
      </c>
      <c r="J185" s="17">
        <v>0.17054617783772177</v>
      </c>
      <c r="K185" s="17">
        <v>0.89407182514934291</v>
      </c>
      <c r="L185" s="17">
        <v>3.8053571113294993</v>
      </c>
      <c r="M185" s="17">
        <v>3.2611175340740579</v>
      </c>
      <c r="N185" s="17">
        <v>0</v>
      </c>
      <c r="O185" s="17">
        <v>0.3034591855365269</v>
      </c>
      <c r="P185" s="17">
        <v>100</v>
      </c>
      <c r="Q185" s="17">
        <v>0.45218124938313053</v>
      </c>
    </row>
    <row r="186" spans="1:17" x14ac:dyDescent="0.2">
      <c r="B186" s="5"/>
      <c r="C186" s="5"/>
      <c r="D186" s="36" t="s">
        <v>20</v>
      </c>
      <c r="E186" s="16">
        <f t="shared" ref="E186:Q186" si="17">AVERAGE(E156:E185)</f>
        <v>77.998552561948131</v>
      </c>
      <c r="F186" s="16">
        <f t="shared" si="17"/>
        <v>0.17376915761993325</v>
      </c>
      <c r="G186" s="16">
        <f>AVERAGE(G156:G185)</f>
        <v>12.118821860332149</v>
      </c>
      <c r="H186" s="16">
        <f t="shared" si="17"/>
        <v>1.1809275195548685</v>
      </c>
      <c r="I186" s="16">
        <f t="shared" si="17"/>
        <v>3.5850009348678498E-2</v>
      </c>
      <c r="J186" s="16">
        <f t="shared" si="17"/>
        <v>0.12226249194032728</v>
      </c>
      <c r="K186" s="16">
        <f t="shared" si="17"/>
        <v>0.77263816763682169</v>
      </c>
      <c r="L186" s="16">
        <f t="shared" si="17"/>
        <v>4.269727850126019</v>
      </c>
      <c r="M186" s="16">
        <f t="shared" si="17"/>
        <v>3.1290844844667021</v>
      </c>
      <c r="N186" s="16">
        <f t="shared" si="17"/>
        <v>3.6920650937176849E-2</v>
      </c>
      <c r="O186" s="16">
        <f t="shared" si="17"/>
        <v>0.20848091542256009</v>
      </c>
      <c r="P186" s="16">
        <f t="shared" si="17"/>
        <v>100</v>
      </c>
      <c r="Q186" s="16">
        <f t="shared" si="17"/>
        <v>0.99496182624895269</v>
      </c>
    </row>
    <row r="187" spans="1:17" x14ac:dyDescent="0.2">
      <c r="B187" s="5"/>
      <c r="C187" s="5"/>
      <c r="D187" s="36" t="s">
        <v>61</v>
      </c>
      <c r="E187" s="16">
        <f t="shared" ref="E187:Q187" si="18">STDEV(E156:E185)</f>
        <v>0.76166024394666199</v>
      </c>
      <c r="F187" s="16">
        <f t="shared" si="18"/>
        <v>8.0852030338198849E-2</v>
      </c>
      <c r="G187" s="16">
        <f t="shared" si="18"/>
        <v>0.2618440726618122</v>
      </c>
      <c r="H187" s="16">
        <f t="shared" si="18"/>
        <v>0.24162728648338974</v>
      </c>
      <c r="I187" s="16">
        <f t="shared" si="18"/>
        <v>2.2112705236111342E-2</v>
      </c>
      <c r="J187" s="16">
        <f t="shared" si="18"/>
        <v>7.0871699751889353E-2</v>
      </c>
      <c r="K187" s="16">
        <f t="shared" si="18"/>
        <v>0.23238566356398577</v>
      </c>
      <c r="L187" s="16">
        <f t="shared" si="18"/>
        <v>0.19844944821979787</v>
      </c>
      <c r="M187" s="16">
        <f t="shared" si="18"/>
        <v>0.10263003305867345</v>
      </c>
      <c r="N187" s="16">
        <f t="shared" si="18"/>
        <v>4.5127829200522399E-2</v>
      </c>
      <c r="O187" s="16">
        <f t="shared" si="18"/>
        <v>3.3571422057598485E-2</v>
      </c>
      <c r="P187" s="16">
        <f t="shared" si="18"/>
        <v>0</v>
      </c>
      <c r="Q187" s="16">
        <f t="shared" si="18"/>
        <v>0.61404013660028889</v>
      </c>
    </row>
    <row r="188" spans="1:17" x14ac:dyDescent="0.2">
      <c r="B188" s="5"/>
      <c r="C188" s="5"/>
      <c r="D188" s="28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spans="1:17" x14ac:dyDescent="0.2">
      <c r="A189" s="1" t="s">
        <v>68</v>
      </c>
      <c r="B189" s="5"/>
      <c r="C189" s="5"/>
      <c r="D189" s="28" t="s">
        <v>472</v>
      </c>
      <c r="E189" s="17">
        <v>68.90958048058036</v>
      </c>
      <c r="F189" s="17">
        <v>0.69998450995436778</v>
      </c>
      <c r="G189" s="17">
        <v>14.764163466520525</v>
      </c>
      <c r="H189" s="17">
        <v>3.8016318027897045</v>
      </c>
      <c r="I189" s="17">
        <v>0.13818397235597335</v>
      </c>
      <c r="J189" s="17">
        <v>1.0943519098501699</v>
      </c>
      <c r="K189" s="17">
        <v>3.2286921506561677</v>
      </c>
      <c r="L189" s="17">
        <v>4.5337826964103423</v>
      </c>
      <c r="M189" s="17">
        <v>2.2805588898955635</v>
      </c>
      <c r="N189" s="17">
        <v>0.43915277864062174</v>
      </c>
      <c r="O189" s="17">
        <v>0.14188620602205909</v>
      </c>
      <c r="P189" s="17">
        <v>100</v>
      </c>
      <c r="Q189" s="17">
        <v>1.2758153683929407</v>
      </c>
    </row>
    <row r="190" spans="1:17" x14ac:dyDescent="0.2">
      <c r="B190" s="5"/>
      <c r="C190" s="5"/>
      <c r="D190" s="28" t="s">
        <v>473</v>
      </c>
      <c r="E190" s="17">
        <v>69.915247032754564</v>
      </c>
      <c r="F190" s="17">
        <v>0.70389590252809076</v>
      </c>
      <c r="G190" s="17">
        <v>14.459029057014334</v>
      </c>
      <c r="H190" s="17">
        <v>3.3525183581310745</v>
      </c>
      <c r="I190" s="17">
        <v>0.13656310998484564</v>
      </c>
      <c r="J190" s="17">
        <v>0.85666243274474907</v>
      </c>
      <c r="K190" s="17">
        <v>3.0790099867426912</v>
      </c>
      <c r="L190" s="17">
        <v>4.5183002723458179</v>
      </c>
      <c r="M190" s="17">
        <v>2.5601869923599279</v>
      </c>
      <c r="N190" s="17">
        <v>0.29182262799045749</v>
      </c>
      <c r="O190" s="17">
        <v>0.16298758007209055</v>
      </c>
      <c r="P190" s="17">
        <v>100</v>
      </c>
      <c r="Q190" s="17">
        <v>3.9622695215157933E-2</v>
      </c>
    </row>
    <row r="191" spans="1:17" x14ac:dyDescent="0.2">
      <c r="B191" s="5"/>
      <c r="C191" s="5"/>
      <c r="D191" s="28" t="s">
        <v>474</v>
      </c>
      <c r="E191" s="17">
        <v>70.095444733152078</v>
      </c>
      <c r="F191" s="17">
        <v>0.712951732545822</v>
      </c>
      <c r="G191" s="17">
        <v>14.586107132873416</v>
      </c>
      <c r="H191" s="17">
        <v>3.5246503577571682</v>
      </c>
      <c r="I191" s="17">
        <v>5.6263094708638189E-2</v>
      </c>
      <c r="J191" s="17">
        <v>0.98854519502916993</v>
      </c>
      <c r="K191" s="17">
        <v>2.9411016341919285</v>
      </c>
      <c r="L191" s="17">
        <v>4.3635907718698368</v>
      </c>
      <c r="M191" s="17">
        <v>2.5010228542528763</v>
      </c>
      <c r="N191" s="17">
        <v>8.0611266024354575E-2</v>
      </c>
      <c r="O191" s="17">
        <v>0.19337746257453767</v>
      </c>
      <c r="P191" s="17">
        <v>100</v>
      </c>
      <c r="Q191" s="17">
        <v>0.41962623965287094</v>
      </c>
    </row>
    <row r="192" spans="1:17" x14ac:dyDescent="0.2">
      <c r="B192" s="5"/>
      <c r="C192" s="5"/>
      <c r="D192" s="28" t="s">
        <v>475</v>
      </c>
      <c r="E192" s="17">
        <v>70.278734320699542</v>
      </c>
      <c r="F192" s="17">
        <v>0.65616138014464631</v>
      </c>
      <c r="G192" s="17">
        <v>14.452028799745351</v>
      </c>
      <c r="H192" s="17">
        <v>3.459316600722171</v>
      </c>
      <c r="I192" s="17">
        <v>6.4934441385463199E-2</v>
      </c>
      <c r="J192" s="17">
        <v>0.93647157880158305</v>
      </c>
      <c r="K192" s="17">
        <v>3.0066467366314575</v>
      </c>
      <c r="L192" s="17">
        <v>4.4275025909879062</v>
      </c>
      <c r="M192" s="17">
        <v>2.4699934591444208</v>
      </c>
      <c r="N192" s="17">
        <v>0.10992722243175661</v>
      </c>
      <c r="O192" s="17">
        <v>0.17857096932908412</v>
      </c>
      <c r="P192" s="17">
        <v>100</v>
      </c>
      <c r="Q192" s="17">
        <v>0.43958395479027956</v>
      </c>
    </row>
    <row r="193" spans="2:17" x14ac:dyDescent="0.2">
      <c r="B193" s="5"/>
      <c r="C193" s="5"/>
      <c r="D193" s="28" t="s">
        <v>261</v>
      </c>
      <c r="E193" s="17">
        <v>76.503200189200953</v>
      </c>
      <c r="F193" s="17">
        <v>0.3034723071583722</v>
      </c>
      <c r="G193" s="17">
        <v>12.668492797073391</v>
      </c>
      <c r="H193" s="17">
        <v>1.8134214748008415</v>
      </c>
      <c r="I193" s="17">
        <v>3.0245180717448212E-2</v>
      </c>
      <c r="J193" s="17">
        <v>0.34140771987978763</v>
      </c>
      <c r="K193" s="17">
        <v>1.3417125987997673</v>
      </c>
      <c r="L193" s="17">
        <v>3.9850074591287941</v>
      </c>
      <c r="M193" s="17">
        <v>2.8734246809294697</v>
      </c>
      <c r="N193" s="17">
        <v>0</v>
      </c>
      <c r="O193" s="17">
        <v>0.18000880078222972</v>
      </c>
      <c r="P193" s="17">
        <v>100</v>
      </c>
      <c r="Q193" s="17">
        <v>-4.8997169797829088E-2</v>
      </c>
    </row>
    <row r="194" spans="2:17" x14ac:dyDescent="0.2">
      <c r="B194" s="5"/>
      <c r="C194" s="5"/>
      <c r="D194" s="28" t="s">
        <v>476</v>
      </c>
      <c r="E194" s="17">
        <v>77.720541668750855</v>
      </c>
      <c r="F194" s="17">
        <v>0.1342424642534962</v>
      </c>
      <c r="G194" s="17">
        <v>12.052655833519074</v>
      </c>
      <c r="H194" s="17">
        <v>1.2108224325997792</v>
      </c>
      <c r="I194" s="17">
        <v>0.10969220415298885</v>
      </c>
      <c r="J194" s="17">
        <v>0.10098146749416281</v>
      </c>
      <c r="K194" s="17">
        <v>0.71349143355394629</v>
      </c>
      <c r="L194" s="17">
        <v>4.5105596147139364</v>
      </c>
      <c r="M194" s="17">
        <v>3.286698280777693</v>
      </c>
      <c r="N194" s="17">
        <v>0</v>
      </c>
      <c r="O194" s="17">
        <v>0.20696009437501536</v>
      </c>
      <c r="P194" s="17">
        <v>100</v>
      </c>
      <c r="Q194" s="17">
        <v>0.12325775932104932</v>
      </c>
    </row>
    <row r="195" spans="2:17" x14ac:dyDescent="0.2">
      <c r="B195" s="5"/>
      <c r="C195" s="5"/>
      <c r="D195" s="28" t="s">
        <v>260</v>
      </c>
      <c r="E195" s="17">
        <v>77.820189218831445</v>
      </c>
      <c r="F195" s="17">
        <v>0.15201400888779543</v>
      </c>
      <c r="G195" s="17">
        <v>12.00698196246821</v>
      </c>
      <c r="H195" s="17">
        <v>1.2319885424359658</v>
      </c>
      <c r="I195" s="17">
        <v>3.6095542072719547E-2</v>
      </c>
      <c r="J195" s="17">
        <v>9.0997333173423747E-2</v>
      </c>
      <c r="K195" s="17">
        <v>0.74494954786930412</v>
      </c>
      <c r="L195" s="17">
        <v>4.7059078602749107</v>
      </c>
      <c r="M195" s="17">
        <v>3.0046660942077525</v>
      </c>
      <c r="N195" s="17">
        <v>4.0637398402766312E-2</v>
      </c>
      <c r="O195" s="17">
        <v>0.21400794469434645</v>
      </c>
      <c r="P195" s="17">
        <v>100</v>
      </c>
      <c r="Q195" s="17">
        <v>0.12894133194005519</v>
      </c>
    </row>
    <row r="196" spans="2:17" x14ac:dyDescent="0.2">
      <c r="B196" s="5"/>
      <c r="C196" s="5"/>
      <c r="D196" s="28" t="s">
        <v>477</v>
      </c>
      <c r="E196" s="17">
        <v>78.047462144638843</v>
      </c>
      <c r="F196" s="17">
        <v>0.19226718523771733</v>
      </c>
      <c r="G196" s="17">
        <v>12.077891946784227</v>
      </c>
      <c r="H196" s="17">
        <v>1.2178799393719963</v>
      </c>
      <c r="I196" s="17">
        <v>5.2605605167583017E-2</v>
      </c>
      <c r="J196" s="17">
        <v>6.3527113982515315E-2</v>
      </c>
      <c r="K196" s="17">
        <v>0.74393812627977518</v>
      </c>
      <c r="L196" s="17">
        <v>4.3334986762106391</v>
      </c>
      <c r="M196" s="17">
        <v>3.1256904182467107</v>
      </c>
      <c r="N196" s="17">
        <v>0</v>
      </c>
      <c r="O196" s="17">
        <v>0.18745685834965622</v>
      </c>
      <c r="P196" s="17">
        <v>100</v>
      </c>
      <c r="Q196" s="17">
        <v>1.2956892434022222</v>
      </c>
    </row>
    <row r="197" spans="2:17" x14ac:dyDescent="0.2">
      <c r="B197" s="5"/>
      <c r="C197" s="5"/>
      <c r="D197" s="28" t="s">
        <v>478</v>
      </c>
      <c r="E197" s="17">
        <v>78.050026473896921</v>
      </c>
      <c r="F197" s="17">
        <v>0.20186206712397645</v>
      </c>
      <c r="G197" s="17">
        <v>12.082269738027476</v>
      </c>
      <c r="H197" s="17">
        <v>1.1567721335253767</v>
      </c>
      <c r="I197" s="17">
        <v>1.588728304358538E-2</v>
      </c>
      <c r="J197" s="17">
        <v>0.12016147863839265</v>
      </c>
      <c r="K197" s="17">
        <v>0.67863283911148653</v>
      </c>
      <c r="L197" s="17">
        <v>4.3273861301105523</v>
      </c>
      <c r="M197" s="17">
        <v>3.157555810798176</v>
      </c>
      <c r="N197" s="17">
        <v>3.3258300870091045E-2</v>
      </c>
      <c r="O197" s="17">
        <v>0.22784195260047133</v>
      </c>
      <c r="P197" s="17">
        <v>100</v>
      </c>
      <c r="Q197" s="17">
        <v>0.18431750416382897</v>
      </c>
    </row>
    <row r="198" spans="2:17" x14ac:dyDescent="0.2">
      <c r="B198" s="5"/>
      <c r="C198" s="5"/>
      <c r="D198" s="28" t="s">
        <v>479</v>
      </c>
      <c r="E198" s="17">
        <v>78.06047972667713</v>
      </c>
      <c r="F198" s="17">
        <v>0.15873522165443438</v>
      </c>
      <c r="G198" s="17">
        <v>12.093274279542626</v>
      </c>
      <c r="H198" s="17">
        <v>1.1814083598690601</v>
      </c>
      <c r="I198" s="17">
        <v>7.8760894389291736E-2</v>
      </c>
      <c r="J198" s="17">
        <v>0.10134793617919287</v>
      </c>
      <c r="K198" s="17">
        <v>0.72134539693082667</v>
      </c>
      <c r="L198" s="17">
        <v>4.234445923272431</v>
      </c>
      <c r="M198" s="17">
        <v>3.0583732698547736</v>
      </c>
      <c r="N198" s="17">
        <v>0.13804720231523987</v>
      </c>
      <c r="O198" s="17">
        <v>0.22435463799826094</v>
      </c>
      <c r="P198" s="17">
        <v>100</v>
      </c>
      <c r="Q198" s="17">
        <v>1.1070143324963055</v>
      </c>
    </row>
    <row r="199" spans="2:17" x14ac:dyDescent="0.2">
      <c r="B199" s="5"/>
      <c r="C199" s="5"/>
      <c r="D199" s="28" t="s">
        <v>480</v>
      </c>
      <c r="E199" s="17">
        <v>78.06183496087273</v>
      </c>
      <c r="F199" s="17">
        <v>0.22767531239182426</v>
      </c>
      <c r="G199" s="17">
        <v>12.107211241587766</v>
      </c>
      <c r="H199" s="17">
        <v>1.1910620572426156</v>
      </c>
      <c r="I199" s="17">
        <v>4.4929410447501941E-2</v>
      </c>
      <c r="J199" s="17">
        <v>0.11138027283139204</v>
      </c>
      <c r="K199" s="17">
        <v>0.70412224671382739</v>
      </c>
      <c r="L199" s="17">
        <v>4.1851600599988679</v>
      </c>
      <c r="M199" s="17">
        <v>3.1256239767908758</v>
      </c>
      <c r="N199" s="17">
        <v>8.8941196759295557E-2</v>
      </c>
      <c r="O199" s="17">
        <v>0.19636653971772783</v>
      </c>
      <c r="P199" s="17">
        <v>100</v>
      </c>
      <c r="Q199" s="17">
        <v>0.5039248128272078</v>
      </c>
    </row>
    <row r="200" spans="2:17" x14ac:dyDescent="0.2">
      <c r="B200" s="5"/>
      <c r="C200" s="5"/>
      <c r="D200" s="28" t="s">
        <v>481</v>
      </c>
      <c r="E200" s="17">
        <v>78.076910782771861</v>
      </c>
      <c r="F200" s="17">
        <v>0.20253840088616504</v>
      </c>
      <c r="G200" s="17">
        <v>12.083673374434497</v>
      </c>
      <c r="H200" s="17">
        <v>1.1677601867248599</v>
      </c>
      <c r="I200" s="17">
        <v>5.7606027068346888E-2</v>
      </c>
      <c r="J200" s="17">
        <v>0.14030439702416481</v>
      </c>
      <c r="K200" s="17">
        <v>0.68828920727967013</v>
      </c>
      <c r="L200" s="17">
        <v>4.1088624091965027</v>
      </c>
      <c r="M200" s="17">
        <v>3.2060889665800083</v>
      </c>
      <c r="N200" s="17">
        <v>7.735931860949273E-2</v>
      </c>
      <c r="O200" s="17">
        <v>0.24668294776425434</v>
      </c>
      <c r="P200" s="17">
        <v>100</v>
      </c>
      <c r="Q200" s="17">
        <v>-0.13014772146004816</v>
      </c>
    </row>
    <row r="201" spans="2:17" x14ac:dyDescent="0.2">
      <c r="B201" s="5"/>
      <c r="C201" s="5"/>
      <c r="D201" s="28" t="s">
        <v>482</v>
      </c>
      <c r="E201" s="17">
        <v>78.097793919347652</v>
      </c>
      <c r="F201" s="17">
        <v>0.13297756472155267</v>
      </c>
      <c r="G201" s="17">
        <v>12.078323069087594</v>
      </c>
      <c r="H201" s="17">
        <v>1.1950447350063198</v>
      </c>
      <c r="I201" s="17">
        <v>1.4622045936659276E-2</v>
      </c>
      <c r="J201" s="17">
        <v>7.0199814825247134E-2</v>
      </c>
      <c r="K201" s="17">
        <v>0.69711940055836863</v>
      </c>
      <c r="L201" s="17">
        <v>4.4347218231113228</v>
      </c>
      <c r="M201" s="17">
        <v>3.0109567575126879</v>
      </c>
      <c r="N201" s="17">
        <v>8.2294768836380733E-2</v>
      </c>
      <c r="O201" s="17">
        <v>0.24012038068921587</v>
      </c>
      <c r="P201" s="17">
        <v>100</v>
      </c>
      <c r="Q201" s="17">
        <v>1.3886287701382258</v>
      </c>
    </row>
    <row r="202" spans="2:17" x14ac:dyDescent="0.2">
      <c r="B202" s="5"/>
      <c r="C202" s="5"/>
      <c r="D202" s="28" t="s">
        <v>483</v>
      </c>
      <c r="E202" s="17">
        <v>78.130127804826898</v>
      </c>
      <c r="F202" s="17">
        <v>0.2099463834030601</v>
      </c>
      <c r="G202" s="17">
        <v>12.125158716167379</v>
      </c>
      <c r="H202" s="17">
        <v>1.185143474872596</v>
      </c>
      <c r="I202" s="17">
        <v>3.7620734505699874E-2</v>
      </c>
      <c r="J202" s="17">
        <v>0.10312276950138975</v>
      </c>
      <c r="K202" s="17">
        <v>0.68254632120422554</v>
      </c>
      <c r="L202" s="17">
        <v>4.1133073731482828</v>
      </c>
      <c r="M202" s="17">
        <v>3.208070708443437</v>
      </c>
      <c r="N202" s="17">
        <v>5.1804795319468418E-2</v>
      </c>
      <c r="O202" s="17">
        <v>0.19832089388745136</v>
      </c>
      <c r="P202" s="17">
        <v>100</v>
      </c>
      <c r="Q202" s="17">
        <v>0.37408760766899718</v>
      </c>
    </row>
    <row r="203" spans="2:17" x14ac:dyDescent="0.2">
      <c r="B203" s="5"/>
      <c r="C203" s="5"/>
      <c r="D203" s="28" t="s">
        <v>484</v>
      </c>
      <c r="E203" s="17">
        <v>78.185288036183692</v>
      </c>
      <c r="F203" s="17">
        <v>0.13569031651642938</v>
      </c>
      <c r="G203" s="17">
        <v>12.234385961225602</v>
      </c>
      <c r="H203" s="17">
        <v>1.2672209957262506</v>
      </c>
      <c r="I203" s="17">
        <v>8.9703242791049548E-2</v>
      </c>
      <c r="J203" s="17">
        <v>9.7301691789425507E-2</v>
      </c>
      <c r="K203" s="17">
        <v>0.70943643595283556</v>
      </c>
      <c r="L203" s="17">
        <v>3.8837286447444135</v>
      </c>
      <c r="M203" s="17">
        <v>3.2359321717768577</v>
      </c>
      <c r="N203" s="17">
        <v>0</v>
      </c>
      <c r="O203" s="17">
        <v>0.20867436242925091</v>
      </c>
      <c r="P203" s="17">
        <v>100</v>
      </c>
      <c r="Q203" s="17">
        <v>0.34808417325209007</v>
      </c>
    </row>
    <row r="204" spans="2:17" x14ac:dyDescent="0.2">
      <c r="B204" s="5"/>
      <c r="C204" s="5"/>
      <c r="D204" s="28" t="s">
        <v>485</v>
      </c>
      <c r="E204" s="17">
        <v>78.304071024232314</v>
      </c>
      <c r="F204" s="17">
        <v>0.13150323344436474</v>
      </c>
      <c r="G204" s="17">
        <v>11.971453475054274</v>
      </c>
      <c r="H204" s="17">
        <v>1.1640971912325908</v>
      </c>
      <c r="I204" s="17">
        <v>1.3183726857228373E-2</v>
      </c>
      <c r="J204" s="17">
        <v>0.11126517203157049</v>
      </c>
      <c r="K204" s="17">
        <v>0.65792330426223555</v>
      </c>
      <c r="L204" s="17">
        <v>4.3186376231263131</v>
      </c>
      <c r="M204" s="17">
        <v>3.0560784309365272</v>
      </c>
      <c r="N204" s="17">
        <v>9.3708529381189828E-2</v>
      </c>
      <c r="O204" s="17">
        <v>0.23003750435442682</v>
      </c>
      <c r="P204" s="17">
        <v>100</v>
      </c>
      <c r="Q204" s="17">
        <v>1.5073647943442836</v>
      </c>
    </row>
    <row r="205" spans="2:17" x14ac:dyDescent="0.2">
      <c r="B205" s="5"/>
      <c r="C205" s="5"/>
      <c r="D205" s="28" t="s">
        <v>486</v>
      </c>
      <c r="E205" s="17">
        <v>78.335509508622508</v>
      </c>
      <c r="F205" s="17">
        <v>0.1229638656058389</v>
      </c>
      <c r="G205" s="17">
        <v>12.014453283657268</v>
      </c>
      <c r="H205" s="17">
        <v>1.1816765441152086</v>
      </c>
      <c r="I205" s="17">
        <v>3.0701428832958687E-2</v>
      </c>
      <c r="J205" s="17">
        <v>9.4489719798438593E-2</v>
      </c>
      <c r="K205" s="17">
        <v>0.69852644324873503</v>
      </c>
      <c r="L205" s="17">
        <v>4.3777922033582257</v>
      </c>
      <c r="M205" s="17">
        <v>2.9817424205542471</v>
      </c>
      <c r="N205" s="17">
        <v>1.4965476569546169E-2</v>
      </c>
      <c r="O205" s="17">
        <v>0.19000234745886554</v>
      </c>
      <c r="P205" s="17">
        <v>100</v>
      </c>
      <c r="Q205" s="17">
        <v>1.3596397588849953</v>
      </c>
    </row>
    <row r="206" spans="2:17" x14ac:dyDescent="0.2">
      <c r="B206" s="5"/>
      <c r="C206" s="5"/>
      <c r="D206" s="28" t="s">
        <v>487</v>
      </c>
      <c r="E206" s="17">
        <v>78.437753984540564</v>
      </c>
      <c r="F206" s="17">
        <v>0.20588827188305681</v>
      </c>
      <c r="G206" s="17">
        <v>11.967377107918843</v>
      </c>
      <c r="H206" s="17">
        <v>1.2026924386387388</v>
      </c>
      <c r="I206" s="17">
        <v>3.9558293575118669E-2</v>
      </c>
      <c r="J206" s="17">
        <v>0.10429207902836329</v>
      </c>
      <c r="K206" s="17">
        <v>0.68567776607883135</v>
      </c>
      <c r="L206" s="17">
        <v>4.117165900215805</v>
      </c>
      <c r="M206" s="17">
        <v>3.0867578369933484</v>
      </c>
      <c r="N206" s="17">
        <v>0</v>
      </c>
      <c r="O206" s="17">
        <v>0.19736874316837644</v>
      </c>
      <c r="P206" s="17">
        <v>100</v>
      </c>
      <c r="Q206" s="17">
        <v>1.5908006090396327</v>
      </c>
    </row>
    <row r="207" spans="2:17" x14ac:dyDescent="0.2">
      <c r="B207" s="5"/>
      <c r="C207" s="5"/>
      <c r="D207" s="36" t="s">
        <v>20</v>
      </c>
      <c r="E207" s="16">
        <f t="shared" ref="E207:Q207" si="19">AVERAGE(E189:E206)</f>
        <v>76.168344222810049</v>
      </c>
      <c r="F207" s="16">
        <f t="shared" si="19"/>
        <v>0.29359834046338951</v>
      </c>
      <c r="G207" s="16">
        <f t="shared" si="19"/>
        <v>12.656940624594547</v>
      </c>
      <c r="H207" s="16">
        <f t="shared" si="19"/>
        <v>1.7502837569756844</v>
      </c>
      <c r="I207" s="16">
        <f t="shared" si="19"/>
        <v>5.8175346555172251E-2</v>
      </c>
      <c r="J207" s="16">
        <f>AVERAGE(J189:J206)</f>
        <v>0.30704500458906325</v>
      </c>
      <c r="K207" s="16">
        <f t="shared" si="19"/>
        <v>1.2623978653370045</v>
      </c>
      <c r="L207" s="16">
        <f t="shared" si="19"/>
        <v>4.3044087795680497</v>
      </c>
      <c r="M207" s="16">
        <f t="shared" si="19"/>
        <v>2.9571901122252977</v>
      </c>
      <c r="N207" s="16">
        <f t="shared" si="19"/>
        <v>8.5696160119481168E-2</v>
      </c>
      <c r="O207" s="16">
        <f t="shared" si="19"/>
        <v>0.20139034590374003</v>
      </c>
      <c r="P207" s="16">
        <f t="shared" si="19"/>
        <v>100</v>
      </c>
      <c r="Q207" s="16">
        <f t="shared" si="19"/>
        <v>0.66151411468179255</v>
      </c>
    </row>
    <row r="208" spans="2:17" x14ac:dyDescent="0.2">
      <c r="B208" s="5"/>
      <c r="C208" s="5"/>
      <c r="D208" s="36" t="s">
        <v>61</v>
      </c>
      <c r="E208" s="16">
        <f t="shared" ref="E208:Q208" si="20">STDEV(E189:E206)</f>
        <v>3.5358336789650293</v>
      </c>
      <c r="F208" s="16">
        <f t="shared" si="20"/>
        <v>0.22448187980656373</v>
      </c>
      <c r="G208" s="16">
        <f t="shared" si="20"/>
        <v>1.0624084813023225</v>
      </c>
      <c r="H208" s="16">
        <f t="shared" si="20"/>
        <v>0.99549543660213557</v>
      </c>
      <c r="I208" s="16">
        <f t="shared" si="20"/>
        <v>3.8634680632633471E-2</v>
      </c>
      <c r="J208" s="16">
        <f t="shared" si="20"/>
        <v>0.37114977258859694</v>
      </c>
      <c r="K208" s="16">
        <f t="shared" si="20"/>
        <v>1.0036186845806605</v>
      </c>
      <c r="L208" s="16">
        <f t="shared" si="20"/>
        <v>0.21040319258841927</v>
      </c>
      <c r="M208" s="16">
        <f t="shared" si="20"/>
        <v>0.29887363649165688</v>
      </c>
      <c r="N208" s="16">
        <f t="shared" si="20"/>
        <v>0.11339150538361459</v>
      </c>
      <c r="O208" s="16">
        <f t="shared" si="20"/>
        <v>2.6870825978502922E-2</v>
      </c>
      <c r="P208" s="16">
        <f t="shared" si="20"/>
        <v>0</v>
      </c>
      <c r="Q208" s="16">
        <f t="shared" si="20"/>
        <v>0.604198539799777</v>
      </c>
    </row>
    <row r="209" spans="1:17" x14ac:dyDescent="0.2">
      <c r="B209" s="5"/>
      <c r="C209" s="5"/>
      <c r="D209" s="2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x14ac:dyDescent="0.2">
      <c r="A210" s="1" t="s">
        <v>68</v>
      </c>
      <c r="B210" s="5"/>
      <c r="C210" s="5"/>
      <c r="D210" s="28" t="s">
        <v>48</v>
      </c>
      <c r="E210" s="8">
        <v>74.230699999999999</v>
      </c>
      <c r="F210" s="8">
        <v>0.102129</v>
      </c>
      <c r="G210" s="8">
        <v>13.276400000000001</v>
      </c>
      <c r="H210" s="8">
        <v>1.55843</v>
      </c>
      <c r="I210" s="8">
        <v>0.112313</v>
      </c>
      <c r="J210" s="8">
        <v>7.3692999999999995E-2</v>
      </c>
      <c r="K210" s="8">
        <v>0.67193400000000003</v>
      </c>
      <c r="L210" s="8">
        <v>4.2312599999999998</v>
      </c>
      <c r="M210" s="8">
        <v>5.0516800000000002</v>
      </c>
      <c r="N210" s="8">
        <v>0</v>
      </c>
      <c r="O210" s="8">
        <v>0.27305000000000001</v>
      </c>
      <c r="P210" s="8">
        <v>99.52</v>
      </c>
      <c r="Q210" s="8">
        <f t="shared" ref="Q210:Q215" si="21">100-P210</f>
        <v>0.48000000000000398</v>
      </c>
    </row>
    <row r="211" spans="1:17" x14ac:dyDescent="0.2">
      <c r="B211" s="5"/>
      <c r="C211" s="5"/>
      <c r="D211" s="28" t="s">
        <v>49</v>
      </c>
      <c r="E211" s="8">
        <v>74.549199999999999</v>
      </c>
      <c r="F211" s="8">
        <v>9.9497000000000002E-2</v>
      </c>
      <c r="G211" s="8">
        <v>13.3918</v>
      </c>
      <c r="H211" s="8">
        <v>1.62683</v>
      </c>
      <c r="I211" s="8">
        <v>9.2132000000000006E-2</v>
      </c>
      <c r="J211" s="8">
        <v>5.4221999999999999E-2</v>
      </c>
      <c r="K211" s="8">
        <v>0.70145800000000003</v>
      </c>
      <c r="L211" s="8">
        <v>3.7997399999999999</v>
      </c>
      <c r="M211" s="8">
        <v>5.3487499999999999</v>
      </c>
      <c r="N211" s="8">
        <v>5.1211E-2</v>
      </c>
      <c r="O211" s="8">
        <v>0.25915899999999997</v>
      </c>
      <c r="P211" s="8">
        <v>99.915499999999994</v>
      </c>
      <c r="Q211" s="8">
        <f t="shared" si="21"/>
        <v>8.4500000000005571E-2</v>
      </c>
    </row>
    <row r="212" spans="1:17" x14ac:dyDescent="0.2">
      <c r="B212" s="5"/>
      <c r="C212" s="5"/>
      <c r="D212" s="28" t="s">
        <v>62</v>
      </c>
      <c r="E212" s="8">
        <v>74.591300000000004</v>
      </c>
      <c r="F212" s="8">
        <v>9.3198000000000003E-2</v>
      </c>
      <c r="G212" s="8">
        <v>13.1166</v>
      </c>
      <c r="H212" s="8">
        <v>1.5504</v>
      </c>
      <c r="I212" s="8">
        <v>9.0700000000000003E-2</v>
      </c>
      <c r="J212" s="8">
        <v>5.1920000000000001E-2</v>
      </c>
      <c r="K212" s="8">
        <v>0.69348299999999996</v>
      </c>
      <c r="L212" s="8">
        <v>4.1889799999999999</v>
      </c>
      <c r="M212" s="8">
        <v>5.0839999999999996</v>
      </c>
      <c r="N212" s="8">
        <v>0</v>
      </c>
      <c r="O212" s="8">
        <v>0.36777599999999999</v>
      </c>
      <c r="P212" s="8">
        <v>99.745400000000004</v>
      </c>
      <c r="Q212" s="8">
        <f t="shared" si="21"/>
        <v>0.25459999999999638</v>
      </c>
    </row>
    <row r="213" spans="1:17" x14ac:dyDescent="0.2">
      <c r="B213" s="5"/>
      <c r="C213" s="5"/>
      <c r="D213" s="28" t="s">
        <v>63</v>
      </c>
      <c r="E213" s="8">
        <v>74.600200000000001</v>
      </c>
      <c r="F213" s="8">
        <v>5.1277000000000003E-2</v>
      </c>
      <c r="G213" s="8">
        <v>13.0625</v>
      </c>
      <c r="H213" s="8">
        <v>1.6044099999999999</v>
      </c>
      <c r="I213" s="8">
        <v>0.10793899999999999</v>
      </c>
      <c r="J213" s="8">
        <v>3.8517999999999997E-2</v>
      </c>
      <c r="K213" s="8">
        <v>0.68754199999999999</v>
      </c>
      <c r="L213" s="8">
        <v>4.4180299999999999</v>
      </c>
      <c r="M213" s="8">
        <v>5.2343400000000004</v>
      </c>
      <c r="N213" s="8">
        <v>0</v>
      </c>
      <c r="O213" s="8">
        <v>0.28082600000000002</v>
      </c>
      <c r="P213" s="8">
        <v>100.02200000000001</v>
      </c>
      <c r="Q213" s="8">
        <f t="shared" si="21"/>
        <v>-2.2000000000005571E-2</v>
      </c>
    </row>
    <row r="214" spans="1:17" x14ac:dyDescent="0.2">
      <c r="B214" s="5"/>
      <c r="C214" s="5"/>
      <c r="D214" s="28" t="s">
        <v>50</v>
      </c>
      <c r="E214" s="8">
        <v>74.689899999999994</v>
      </c>
      <c r="F214" s="8">
        <v>7.7925999999999995E-2</v>
      </c>
      <c r="G214" s="8">
        <v>13.1889</v>
      </c>
      <c r="H214" s="8">
        <v>1.6411500000000001</v>
      </c>
      <c r="I214" s="8">
        <v>4.3187000000000003E-2</v>
      </c>
      <c r="J214" s="8">
        <v>4.1710999999999998E-2</v>
      </c>
      <c r="K214" s="8">
        <v>0.722966</v>
      </c>
      <c r="L214" s="8">
        <v>3.96062</v>
      </c>
      <c r="M214" s="8">
        <v>5.1972699999999996</v>
      </c>
      <c r="N214" s="8">
        <v>4.7558000000000003E-2</v>
      </c>
      <c r="O214" s="8">
        <v>0.35170400000000002</v>
      </c>
      <c r="P214" s="8">
        <v>99.883499999999998</v>
      </c>
      <c r="Q214" s="8">
        <f t="shared" si="21"/>
        <v>0.11650000000000205</v>
      </c>
    </row>
    <row r="215" spans="1:17" x14ac:dyDescent="0.2">
      <c r="B215" s="5"/>
      <c r="C215" s="5"/>
      <c r="D215" s="28" t="s">
        <v>64</v>
      </c>
      <c r="E215" s="8">
        <v>74.722499999999997</v>
      </c>
      <c r="F215" s="8">
        <v>0.104905</v>
      </c>
      <c r="G215" s="8">
        <v>13.1264</v>
      </c>
      <c r="H215" s="8">
        <v>1.53983</v>
      </c>
      <c r="I215" s="8">
        <v>5.1822E-2</v>
      </c>
      <c r="J215" s="8">
        <v>1.9761999999999998E-2</v>
      </c>
      <c r="K215" s="8">
        <v>0.71656500000000001</v>
      </c>
      <c r="L215" s="8">
        <v>4.1638099999999998</v>
      </c>
      <c r="M215" s="8">
        <v>5.2135100000000003</v>
      </c>
      <c r="N215" s="8">
        <v>0</v>
      </c>
      <c r="O215" s="8">
        <v>0.29915799999999998</v>
      </c>
      <c r="P215" s="8">
        <v>99.890699999999995</v>
      </c>
      <c r="Q215" s="8">
        <f t="shared" si="21"/>
        <v>0.10930000000000462</v>
      </c>
    </row>
    <row r="216" spans="1:17" x14ac:dyDescent="0.2">
      <c r="B216" s="5"/>
      <c r="C216" s="5"/>
      <c r="D216" s="36" t="s">
        <v>20</v>
      </c>
      <c r="E216" s="16">
        <f>AVERAGE(E210:E215)</f>
        <v>74.563966666666659</v>
      </c>
      <c r="F216" s="16">
        <f t="shared" ref="F216:Q216" si="22">AVERAGE(F210:F215)</f>
        <v>8.8155333333333322E-2</v>
      </c>
      <c r="G216" s="16">
        <f t="shared" si="22"/>
        <v>13.193766666666667</v>
      </c>
      <c r="H216" s="16">
        <f t="shared" si="22"/>
        <v>1.5868416666666667</v>
      </c>
      <c r="I216" s="16">
        <f t="shared" si="22"/>
        <v>8.3015499999999992E-2</v>
      </c>
      <c r="J216" s="16">
        <f t="shared" si="22"/>
        <v>4.6637666666666661E-2</v>
      </c>
      <c r="K216" s="16">
        <f t="shared" si="22"/>
        <v>0.6989913333333333</v>
      </c>
      <c r="L216" s="16">
        <f t="shared" si="22"/>
        <v>4.1270733333333327</v>
      </c>
      <c r="M216" s="16">
        <f t="shared" si="22"/>
        <v>5.1882583333333328</v>
      </c>
      <c r="N216" s="16">
        <f t="shared" si="22"/>
        <v>1.64615E-2</v>
      </c>
      <c r="O216" s="16">
        <f t="shared" si="22"/>
        <v>0.30527883333333333</v>
      </c>
      <c r="P216" s="16">
        <f t="shared" si="22"/>
        <v>99.829516666666677</v>
      </c>
      <c r="Q216" s="16">
        <f t="shared" si="22"/>
        <v>0.17048333333333451</v>
      </c>
    </row>
    <row r="217" spans="1:17" x14ac:dyDescent="0.2">
      <c r="B217" s="5"/>
      <c r="C217" s="5"/>
      <c r="D217" s="36" t="s">
        <v>61</v>
      </c>
      <c r="E217" s="16">
        <f>STDEV(E210:E215)</f>
        <v>0.17569104321696763</v>
      </c>
      <c r="F217" s="16">
        <f t="shared" ref="F217:Q217" si="23">STDEV(F210:F215)</f>
        <v>2.0467180134709995E-2</v>
      </c>
      <c r="G217" s="16">
        <f t="shared" si="23"/>
        <v>0.12148502239645295</v>
      </c>
      <c r="H217" s="16">
        <f t="shared" si="23"/>
        <v>4.2900869183114088E-2</v>
      </c>
      <c r="I217" s="16">
        <f t="shared" si="23"/>
        <v>2.8917227825294774E-2</v>
      </c>
      <c r="J217" s="16">
        <f t="shared" si="23"/>
        <v>1.8055019852292249E-2</v>
      </c>
      <c r="K217" s="16">
        <f t="shared" si="23"/>
        <v>1.8885079313221496E-2</v>
      </c>
      <c r="L217" s="16">
        <f t="shared" si="23"/>
        <v>0.21704676211974841</v>
      </c>
      <c r="M217" s="16">
        <f t="shared" si="23"/>
        <v>0.10781780287441715</v>
      </c>
      <c r="N217" s="16">
        <f t="shared" si="23"/>
        <v>2.5528196142696805E-2</v>
      </c>
      <c r="O217" s="16">
        <f t="shared" si="23"/>
        <v>4.441246294641496E-2</v>
      </c>
      <c r="P217" s="16">
        <f t="shared" si="23"/>
        <v>0.17548603838102653</v>
      </c>
      <c r="Q217" s="16">
        <f t="shared" si="23"/>
        <v>0.17548603838102655</v>
      </c>
    </row>
    <row r="218" spans="1:17" x14ac:dyDescent="0.2">
      <c r="B218" s="5"/>
      <c r="C218" s="5"/>
      <c r="D218" s="2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x14ac:dyDescent="0.2">
      <c r="A219" s="1" t="s">
        <v>68</v>
      </c>
      <c r="B219" s="5"/>
      <c r="C219" s="5"/>
      <c r="D219" s="35" t="s">
        <v>55</v>
      </c>
      <c r="E219" s="17">
        <v>75.182629546028807</v>
      </c>
      <c r="F219" s="17">
        <v>0.30935793295496555</v>
      </c>
      <c r="G219" s="17">
        <v>13.113985002200856</v>
      </c>
      <c r="H219" s="17">
        <v>1.7511922322100477</v>
      </c>
      <c r="I219" s="17">
        <v>7.1519155851257413E-2</v>
      </c>
      <c r="J219" s="17">
        <v>0.29266260624088941</v>
      </c>
      <c r="K219" s="17">
        <v>1.3914532389197674</v>
      </c>
      <c r="L219" s="17">
        <v>3.8227794319655755</v>
      </c>
      <c r="M219" s="17">
        <v>3.6990401341195827</v>
      </c>
      <c r="N219" s="17">
        <v>9.8594057778270863E-2</v>
      </c>
      <c r="O219" s="17">
        <v>0.34451078458884549</v>
      </c>
      <c r="P219" s="17">
        <v>100.00031193329288</v>
      </c>
      <c r="Q219" s="17">
        <v>3.4160859733000564</v>
      </c>
    </row>
    <row r="220" spans="1:17" x14ac:dyDescent="0.2">
      <c r="B220" s="5"/>
      <c r="C220" s="5"/>
      <c r="D220" s="35" t="s">
        <v>54</v>
      </c>
      <c r="E220" s="17">
        <v>75.278836422437578</v>
      </c>
      <c r="F220" s="17">
        <v>0.26889929282802277</v>
      </c>
      <c r="G220" s="17">
        <v>13.192574751025992</v>
      </c>
      <c r="H220" s="17">
        <v>1.671243540602136</v>
      </c>
      <c r="I220" s="17">
        <v>8.5170040242901798E-2</v>
      </c>
      <c r="J220" s="17">
        <v>0.26294013033308666</v>
      </c>
      <c r="K220" s="17">
        <v>1.4824623382063804</v>
      </c>
      <c r="L220" s="17">
        <v>3.6716682695023199</v>
      </c>
      <c r="M220" s="17">
        <v>3.7457316160057861</v>
      </c>
      <c r="N220" s="17">
        <v>0.12169105979033827</v>
      </c>
      <c r="O220" s="17">
        <v>0.28254485112072969</v>
      </c>
      <c r="P220" s="17">
        <v>100.00025685818137</v>
      </c>
      <c r="Q220" s="17">
        <v>3.6609589874670263</v>
      </c>
    </row>
    <row r="221" spans="1:17" x14ac:dyDescent="0.2">
      <c r="B221" s="5"/>
      <c r="C221" s="5"/>
      <c r="D221" s="35" t="s">
        <v>56</v>
      </c>
      <c r="E221" s="17">
        <v>75.279988783382265</v>
      </c>
      <c r="F221" s="17">
        <v>0.33519941500915085</v>
      </c>
      <c r="G221" s="17">
        <v>13.129817952478524</v>
      </c>
      <c r="H221" s="17">
        <v>1.7154594030468404</v>
      </c>
      <c r="I221" s="17">
        <v>5.0437771870893752E-2</v>
      </c>
      <c r="J221" s="17">
        <v>0.30022704131843991</v>
      </c>
      <c r="K221" s="17">
        <v>1.4691612895334638</v>
      </c>
      <c r="L221" s="17">
        <v>3.7946298432743886</v>
      </c>
      <c r="M221" s="17">
        <v>3.616731197046489</v>
      </c>
      <c r="N221" s="17">
        <v>0.10573450715297</v>
      </c>
      <c r="O221" s="17">
        <v>0.26171300486132626</v>
      </c>
      <c r="P221" s="17">
        <v>100.00023627862137</v>
      </c>
      <c r="Q221" s="17">
        <v>2.9834225721658214</v>
      </c>
    </row>
    <row r="222" spans="1:17" x14ac:dyDescent="0.2">
      <c r="B222" s="5"/>
      <c r="C222" s="5"/>
      <c r="D222" s="35" t="s">
        <v>65</v>
      </c>
      <c r="E222" s="17">
        <v>75.348816254235473</v>
      </c>
      <c r="F222" s="17">
        <v>0.24823088052343067</v>
      </c>
      <c r="G222" s="17">
        <v>12.955156969869822</v>
      </c>
      <c r="H222" s="17">
        <v>1.7972443896288886</v>
      </c>
      <c r="I222" s="17">
        <v>6.5717272227493739E-2</v>
      </c>
      <c r="J222" s="17">
        <v>0.27553193844248475</v>
      </c>
      <c r="K222" s="17">
        <v>1.4871244678047528</v>
      </c>
      <c r="L222" s="17">
        <v>3.8810870869818492</v>
      </c>
      <c r="M222" s="17">
        <v>3.6865227258664888</v>
      </c>
      <c r="N222" s="17">
        <v>2.6611810268460857E-2</v>
      </c>
      <c r="O222" s="17">
        <v>0.29432327913328116</v>
      </c>
      <c r="P222" s="17">
        <v>100.0002666154345</v>
      </c>
      <c r="Q222" s="17">
        <v>3.6630738706872563</v>
      </c>
    </row>
    <row r="223" spans="1:17" x14ac:dyDescent="0.2">
      <c r="B223" s="5"/>
      <c r="C223" s="5"/>
      <c r="D223" s="35" t="s">
        <v>66</v>
      </c>
      <c r="E223" s="17">
        <v>75.361007883558202</v>
      </c>
      <c r="F223" s="17">
        <v>0.30071455549013837</v>
      </c>
      <c r="G223" s="17">
        <v>12.947891219451812</v>
      </c>
      <c r="H223" s="17">
        <v>1.7195300357480994</v>
      </c>
      <c r="I223" s="17">
        <v>0.10336248245944027</v>
      </c>
      <c r="J223" s="17">
        <v>0.27588711647131553</v>
      </c>
      <c r="K223" s="17">
        <v>1.4980925143736203</v>
      </c>
      <c r="L223" s="17">
        <v>3.8526967818358382</v>
      </c>
      <c r="M223" s="17">
        <v>3.7100932037343686</v>
      </c>
      <c r="N223" s="17">
        <v>0</v>
      </c>
      <c r="O223" s="17">
        <v>0.29797237141861493</v>
      </c>
      <c r="P223" s="17">
        <v>100.00027056366157</v>
      </c>
      <c r="Q223" s="17">
        <v>2.5594223324486762</v>
      </c>
    </row>
    <row r="224" spans="1:17" x14ac:dyDescent="0.2">
      <c r="B224" s="5"/>
      <c r="C224" s="5"/>
      <c r="D224" s="35" t="s">
        <v>67</v>
      </c>
      <c r="E224" s="17">
        <v>75.48666446035412</v>
      </c>
      <c r="F224" s="17">
        <v>0.29219486218854007</v>
      </c>
      <c r="G224" s="17">
        <v>13.239409550252756</v>
      </c>
      <c r="H224" s="17">
        <v>1.697107395348544</v>
      </c>
      <c r="I224" s="17">
        <v>6.0979042441658748E-2</v>
      </c>
      <c r="J224" s="17">
        <v>0.28972899554787507</v>
      </c>
      <c r="K224" s="17">
        <v>1.4412194740456712</v>
      </c>
      <c r="L224" s="17">
        <v>3.6408841326056893</v>
      </c>
      <c r="M224" s="17">
        <v>3.6103411146286581</v>
      </c>
      <c r="N224" s="17">
        <v>1.8937359733254607E-2</v>
      </c>
      <c r="O224" s="17">
        <v>0.28724969375786868</v>
      </c>
      <c r="P224" s="17">
        <v>100.00025918838151</v>
      </c>
      <c r="Q224" s="17">
        <v>3.2388872677827862</v>
      </c>
    </row>
    <row r="225" spans="1:17" x14ac:dyDescent="0.2">
      <c r="B225" s="5"/>
      <c r="C225" s="5"/>
      <c r="D225" s="36" t="s">
        <v>20</v>
      </c>
      <c r="E225" s="16">
        <f>AVERAGE(E219:E224)</f>
        <v>75.322990558332734</v>
      </c>
      <c r="F225" s="16">
        <f t="shared" ref="F225:Q225" si="24">AVERAGE(F219:F224)</f>
        <v>0.29243282316570807</v>
      </c>
      <c r="G225" s="16">
        <f t="shared" si="24"/>
        <v>13.096472574213294</v>
      </c>
      <c r="H225" s="16">
        <f t="shared" si="24"/>
        <v>1.725296166097426</v>
      </c>
      <c r="I225" s="16">
        <f t="shared" si="24"/>
        <v>7.2864294182274289E-2</v>
      </c>
      <c r="J225" s="16">
        <f t="shared" si="24"/>
        <v>0.28282963805901523</v>
      </c>
      <c r="K225" s="16">
        <f t="shared" si="24"/>
        <v>1.4615855538139426</v>
      </c>
      <c r="L225" s="16">
        <f t="shared" si="24"/>
        <v>3.7772909243609436</v>
      </c>
      <c r="M225" s="16">
        <f t="shared" si="24"/>
        <v>3.6780766652335619</v>
      </c>
      <c r="N225" s="16">
        <f t="shared" si="24"/>
        <v>6.1928132453882435E-2</v>
      </c>
      <c r="O225" s="16">
        <f t="shared" si="24"/>
        <v>0.29471899748011104</v>
      </c>
      <c r="P225" s="16">
        <f t="shared" si="24"/>
        <v>100.0002669062622</v>
      </c>
      <c r="Q225" s="16">
        <f t="shared" si="24"/>
        <v>3.2536418339752706</v>
      </c>
    </row>
    <row r="226" spans="1:17" x14ac:dyDescent="0.2">
      <c r="B226" s="5"/>
      <c r="C226" s="5"/>
      <c r="D226" s="36" t="s">
        <v>61</v>
      </c>
      <c r="E226" s="16">
        <f>STDEV(E219:E224)</f>
        <v>0.10237322299272208</v>
      </c>
      <c r="F226" s="16">
        <f t="shared" ref="F226:Q226" si="25">STDEV(F219:F224)</f>
        <v>3.063241165337182E-2</v>
      </c>
      <c r="G226" s="16">
        <f t="shared" si="25"/>
        <v>0.12093942773705653</v>
      </c>
      <c r="H226" s="16">
        <f t="shared" si="25"/>
        <v>4.403057209537134E-2</v>
      </c>
      <c r="I226" s="16">
        <f t="shared" si="25"/>
        <v>1.8860902980347753E-2</v>
      </c>
      <c r="J226" s="16">
        <f t="shared" si="25"/>
        <v>1.3740491843194222E-2</v>
      </c>
      <c r="K226" s="16">
        <f t="shared" si="25"/>
        <v>3.9526054680272808E-2</v>
      </c>
      <c r="L226" s="16">
        <f t="shared" si="25"/>
        <v>9.8582439821581325E-2</v>
      </c>
      <c r="M226" s="16">
        <f t="shared" si="25"/>
        <v>5.3785547040736875E-2</v>
      </c>
      <c r="N226" s="16">
        <f t="shared" si="25"/>
        <v>5.2470065311641771E-2</v>
      </c>
      <c r="O226" s="16">
        <f t="shared" si="25"/>
        <v>2.7507667966955342E-2</v>
      </c>
      <c r="P226" s="16">
        <f t="shared" si="25"/>
        <v>2.5057839635317359E-5</v>
      </c>
      <c r="Q226" s="16">
        <f t="shared" si="25"/>
        <v>0.42780996192045984</v>
      </c>
    </row>
    <row r="227" spans="1:17" x14ac:dyDescent="0.2">
      <c r="B227" s="5"/>
      <c r="C227" s="5"/>
      <c r="D227" s="23"/>
    </row>
    <row r="228" spans="1:17" x14ac:dyDescent="0.2">
      <c r="A228" s="1" t="s">
        <v>71</v>
      </c>
      <c r="B228" s="5"/>
      <c r="C228" s="5"/>
      <c r="D228" s="28" t="s">
        <v>23</v>
      </c>
      <c r="E228" s="8">
        <v>74.919944316052863</v>
      </c>
      <c r="F228" s="8">
        <v>7.4695392930776899E-2</v>
      </c>
      <c r="G228" s="8">
        <v>13.225086357083359</v>
      </c>
      <c r="H228" s="8">
        <v>1.4889920105847574</v>
      </c>
      <c r="I228" s="8">
        <v>0.15297874299273356</v>
      </c>
      <c r="J228" s="8">
        <v>3.5858153716642575E-2</v>
      </c>
      <c r="K228" s="8">
        <v>0.71405956280636484</v>
      </c>
      <c r="L228" s="8">
        <v>4.0680274271483654</v>
      </c>
      <c r="M228" s="8">
        <v>5.0657242478880669</v>
      </c>
      <c r="N228" s="8">
        <v>0</v>
      </c>
      <c r="O228" s="8">
        <v>0.32893346615920704</v>
      </c>
      <c r="P228" s="8">
        <v>100</v>
      </c>
      <c r="Q228" s="8">
        <v>1.9497761155451769</v>
      </c>
    </row>
    <row r="229" spans="1:17" x14ac:dyDescent="0.2">
      <c r="B229" s="5"/>
      <c r="C229" s="5"/>
      <c r="D229" s="28" t="s">
        <v>24</v>
      </c>
      <c r="E229" s="8">
        <v>74.623651630326933</v>
      </c>
      <c r="F229" s="8">
        <v>8.6948681410139533E-2</v>
      </c>
      <c r="G229" s="8">
        <v>13.171586366126359</v>
      </c>
      <c r="H229" s="8">
        <v>1.7059683885229857</v>
      </c>
      <c r="I229" s="8">
        <v>0</v>
      </c>
      <c r="J229" s="8">
        <v>6.1821430189273475E-2</v>
      </c>
      <c r="K229" s="8">
        <v>0.72133454448867129</v>
      </c>
      <c r="L229" s="8">
        <v>4.2028650831655874</v>
      </c>
      <c r="M229" s="8">
        <v>5.1299480021575281</v>
      </c>
      <c r="N229" s="8">
        <v>5.8950578091514834E-2</v>
      </c>
      <c r="O229" s="8">
        <v>0.3053195984416483</v>
      </c>
      <c r="P229" s="8">
        <v>100</v>
      </c>
      <c r="Q229" s="8">
        <v>0.6218396890794935</v>
      </c>
    </row>
    <row r="230" spans="1:17" x14ac:dyDescent="0.2">
      <c r="B230" s="5"/>
      <c r="C230" s="5"/>
      <c r="D230" s="28" t="s">
        <v>25</v>
      </c>
      <c r="E230" s="8">
        <v>74.946097670856688</v>
      </c>
      <c r="F230" s="8">
        <v>7.5677800867439249E-2</v>
      </c>
      <c r="G230" s="8">
        <v>13.132735388115476</v>
      </c>
      <c r="H230" s="8">
        <v>1.5982280089010874</v>
      </c>
      <c r="I230" s="8">
        <v>6.553472826548408E-2</v>
      </c>
      <c r="J230" s="8">
        <v>5.5954991436584625E-2</v>
      </c>
      <c r="K230" s="8">
        <v>0.69346835575624677</v>
      </c>
      <c r="L230" s="8">
        <v>4.0291833996073612</v>
      </c>
      <c r="M230" s="8">
        <v>5.1632274583557995</v>
      </c>
      <c r="N230" s="8">
        <v>0</v>
      </c>
      <c r="O230" s="8">
        <v>0.30979025443869401</v>
      </c>
      <c r="P230" s="8">
        <v>100</v>
      </c>
      <c r="Q230" s="8">
        <v>0.94717454685930136</v>
      </c>
    </row>
    <row r="231" spans="1:17" x14ac:dyDescent="0.2">
      <c r="B231" s="5"/>
      <c r="C231" s="5"/>
      <c r="D231" s="28" t="s">
        <v>26</v>
      </c>
      <c r="E231" s="8">
        <v>74.650521577343326</v>
      </c>
      <c r="F231" s="8">
        <v>0.1098347725618859</v>
      </c>
      <c r="G231" s="8">
        <v>13.101397380022464</v>
      </c>
      <c r="H231" s="8">
        <v>1.6078606027130349</v>
      </c>
      <c r="I231" s="8">
        <v>0.1005239850062729</v>
      </c>
      <c r="J231" s="8">
        <v>5.4474015444961374E-2</v>
      </c>
      <c r="K231" s="8">
        <v>0.71675894920334793</v>
      </c>
      <c r="L231" s="8">
        <v>4.2932032329324477</v>
      </c>
      <c r="M231" s="8">
        <v>5.1042154251729466</v>
      </c>
      <c r="N231" s="8">
        <v>2.2191770795041182E-2</v>
      </c>
      <c r="O231" s="8">
        <v>0.30874365503318119</v>
      </c>
      <c r="P231" s="8">
        <v>100</v>
      </c>
      <c r="Q231" s="8">
        <v>0.98581946011297816</v>
      </c>
    </row>
    <row r="232" spans="1:17" x14ac:dyDescent="0.2">
      <c r="B232" s="5"/>
      <c r="C232" s="5"/>
      <c r="D232" s="28" t="s">
        <v>27</v>
      </c>
      <c r="E232" s="8">
        <v>74.533833231337738</v>
      </c>
      <c r="F232" s="8">
        <v>7.840114591233488E-2</v>
      </c>
      <c r="G232" s="8">
        <v>13.370856250519934</v>
      </c>
      <c r="H232" s="8">
        <v>1.6415303197845141</v>
      </c>
      <c r="I232" s="8">
        <v>4.2351034787673908E-2</v>
      </c>
      <c r="J232" s="8">
        <v>3.1205972350959701E-2</v>
      </c>
      <c r="K232" s="8">
        <v>0.70175322465765932</v>
      </c>
      <c r="L232" s="8">
        <v>4.206170252821229</v>
      </c>
      <c r="M232" s="8">
        <v>5.1455455964375263</v>
      </c>
      <c r="N232" s="8">
        <v>0</v>
      </c>
      <c r="O232" s="8">
        <v>0.32081258115587102</v>
      </c>
      <c r="P232" s="8">
        <v>100</v>
      </c>
      <c r="Q232" s="8">
        <v>1.2208315340251943</v>
      </c>
    </row>
    <row r="233" spans="1:17" x14ac:dyDescent="0.2">
      <c r="B233" s="5"/>
      <c r="C233" s="5"/>
      <c r="D233" s="28" t="s">
        <v>28</v>
      </c>
      <c r="E233" s="8">
        <v>74.685300895735054</v>
      </c>
      <c r="F233" s="8">
        <v>0.10708189347380882</v>
      </c>
      <c r="G233" s="8">
        <v>13.208988420925023</v>
      </c>
      <c r="H233" s="8">
        <v>1.5067594079798152</v>
      </c>
      <c r="I233" s="8">
        <v>0.17570048063862256</v>
      </c>
      <c r="J233" s="8">
        <v>4.0455324626398878E-2</v>
      </c>
      <c r="K233" s="8">
        <v>0.71587841162125843</v>
      </c>
      <c r="L233" s="8">
        <v>4.031853192686448</v>
      </c>
      <c r="M233" s="8">
        <v>5.2728544546381766</v>
      </c>
      <c r="N233" s="8">
        <v>0</v>
      </c>
      <c r="O233" s="8">
        <v>0.32949180413371554</v>
      </c>
      <c r="P233" s="8">
        <v>100</v>
      </c>
      <c r="Q233" s="8">
        <v>1.4567294462255234</v>
      </c>
    </row>
    <row r="234" spans="1:17" x14ac:dyDescent="0.2">
      <c r="B234" s="5"/>
      <c r="C234" s="5"/>
      <c r="D234" s="30" t="s">
        <v>20</v>
      </c>
      <c r="E234" s="16">
        <f t="shared" ref="E234:Q234" si="26">AVERAGE(E228:E233)</f>
        <v>74.726558220275436</v>
      </c>
      <c r="F234" s="16">
        <f t="shared" si="26"/>
        <v>8.8773281192730882E-2</v>
      </c>
      <c r="G234" s="16">
        <f t="shared" si="26"/>
        <v>13.201775027132102</v>
      </c>
      <c r="H234" s="16">
        <f t="shared" si="26"/>
        <v>1.5915564564143658</v>
      </c>
      <c r="I234" s="16">
        <f>AVERAGE(I228:I233)</f>
        <v>8.9514828615131159E-2</v>
      </c>
      <c r="J234" s="16">
        <f t="shared" si="26"/>
        <v>4.6628314627470108E-2</v>
      </c>
      <c r="K234" s="16">
        <f t="shared" si="26"/>
        <v>0.71054217475559145</v>
      </c>
      <c r="L234" s="16">
        <f t="shared" si="26"/>
        <v>4.1385504313935728</v>
      </c>
      <c r="M234" s="16">
        <f t="shared" si="26"/>
        <v>5.1469191974416733</v>
      </c>
      <c r="N234" s="16">
        <f t="shared" si="26"/>
        <v>1.3523724814426001E-2</v>
      </c>
      <c r="O234" s="16">
        <f t="shared" si="26"/>
        <v>0.31718189322705287</v>
      </c>
      <c r="P234" s="16">
        <f t="shared" si="26"/>
        <v>100</v>
      </c>
      <c r="Q234" s="16">
        <f t="shared" si="26"/>
        <v>1.1970284653079446</v>
      </c>
    </row>
    <row r="235" spans="1:17" x14ac:dyDescent="0.2">
      <c r="B235" s="5"/>
      <c r="C235" s="5"/>
      <c r="D235" s="30" t="s">
        <v>61</v>
      </c>
      <c r="E235" s="16">
        <f t="shared" ref="E235:Q235" si="27">STDEV(E228:E233)</f>
        <v>0.16781667254121971</v>
      </c>
      <c r="F235" s="16">
        <f t="shared" si="27"/>
        <v>1.5870605532615642E-2</v>
      </c>
      <c r="G235" s="16">
        <f t="shared" si="27"/>
        <v>9.4802331516230867E-2</v>
      </c>
      <c r="H235" s="16">
        <f t="shared" si="27"/>
        <v>8.1985141336248707E-2</v>
      </c>
      <c r="I235" s="16">
        <f t="shared" si="27"/>
        <v>6.6916679191754522E-2</v>
      </c>
      <c r="J235" s="16">
        <f t="shared" si="27"/>
        <v>1.2420334093621248E-2</v>
      </c>
      <c r="K235" s="16">
        <f t="shared" si="27"/>
        <v>1.0627623540776433E-2</v>
      </c>
      <c r="L235" s="16">
        <f t="shared" si="27"/>
        <v>0.1104040273029088</v>
      </c>
      <c r="M235" s="16">
        <f t="shared" si="27"/>
        <v>7.0472389809450628E-2</v>
      </c>
      <c r="N235" s="16">
        <f t="shared" si="27"/>
        <v>2.3959543197671785E-2</v>
      </c>
      <c r="O235" s="16">
        <f t="shared" si="27"/>
        <v>1.0671171380088501E-2</v>
      </c>
      <c r="P235" s="16">
        <f t="shared" si="27"/>
        <v>0</v>
      </c>
      <c r="Q235" s="16">
        <f t="shared" si="27"/>
        <v>0.46314545517501449</v>
      </c>
    </row>
    <row r="236" spans="1:17" x14ac:dyDescent="0.2">
      <c r="B236" s="5"/>
      <c r="C236" s="5"/>
      <c r="D236" s="23"/>
    </row>
    <row r="237" spans="1:17" x14ac:dyDescent="0.2">
      <c r="A237" s="1" t="s">
        <v>71</v>
      </c>
      <c r="B237" s="5"/>
      <c r="C237" s="5"/>
      <c r="D237" s="28" t="s">
        <v>31</v>
      </c>
      <c r="E237" s="8">
        <v>74.680580688268762</v>
      </c>
      <c r="F237" s="8">
        <v>0.34609835051680815</v>
      </c>
      <c r="G237" s="8">
        <v>13.309229288935159</v>
      </c>
      <c r="H237" s="8">
        <v>1.8048618883518091</v>
      </c>
      <c r="I237" s="8">
        <v>4.6852400210190812E-2</v>
      </c>
      <c r="J237" s="8">
        <v>0.3087420821091923</v>
      </c>
      <c r="K237" s="8">
        <v>1.4866278628320595</v>
      </c>
      <c r="L237" s="8">
        <v>4.0006997005941791</v>
      </c>
      <c r="M237" s="8">
        <v>3.8090147933341321</v>
      </c>
      <c r="N237" s="8">
        <v>0</v>
      </c>
      <c r="O237" s="8">
        <v>0.26781311531031121</v>
      </c>
      <c r="P237" s="8">
        <v>100</v>
      </c>
      <c r="Q237" s="8">
        <v>4.497955709283886</v>
      </c>
    </row>
    <row r="238" spans="1:17" x14ac:dyDescent="0.2">
      <c r="B238" s="5"/>
      <c r="C238" s="5"/>
      <c r="D238" s="28" t="s">
        <v>32</v>
      </c>
      <c r="E238" s="8">
        <v>74.747539190663986</v>
      </c>
      <c r="F238" s="8">
        <v>0.32954525605039853</v>
      </c>
      <c r="G238" s="8">
        <v>13.412468562683197</v>
      </c>
      <c r="H238" s="8">
        <v>1.649493820511247</v>
      </c>
      <c r="I238" s="8">
        <v>0.12151523650184173</v>
      </c>
      <c r="J238" s="8">
        <v>0.27805828124853671</v>
      </c>
      <c r="K238" s="8">
        <v>1.4497302079965957</v>
      </c>
      <c r="L238" s="8">
        <v>3.9757661810034</v>
      </c>
      <c r="M238" s="8">
        <v>3.6958611228251095</v>
      </c>
      <c r="N238" s="8">
        <v>0.11969929930691738</v>
      </c>
      <c r="O238" s="8">
        <v>0.28459607599318332</v>
      </c>
      <c r="P238" s="8">
        <v>100</v>
      </c>
      <c r="Q238" s="8">
        <v>4.9526599915316183</v>
      </c>
    </row>
    <row r="239" spans="1:17" x14ac:dyDescent="0.2">
      <c r="B239" s="5"/>
      <c r="C239" s="5"/>
      <c r="D239" s="28" t="s">
        <v>33</v>
      </c>
      <c r="E239" s="8">
        <v>74.996670774101929</v>
      </c>
      <c r="F239" s="8">
        <v>0.30721427450608191</v>
      </c>
      <c r="G239" s="8">
        <v>13.2838174506645</v>
      </c>
      <c r="H239" s="8">
        <v>1.7241335034620244</v>
      </c>
      <c r="I239" s="8">
        <v>0.16931401713183769</v>
      </c>
      <c r="J239" s="8">
        <v>0.3135618863960335</v>
      </c>
      <c r="K239" s="8">
        <v>1.4098374532677689</v>
      </c>
      <c r="L239" s="8">
        <v>3.7864471484532687</v>
      </c>
      <c r="M239" s="8">
        <v>3.7599613990994021</v>
      </c>
      <c r="N239" s="8">
        <v>8.9215162219628427E-2</v>
      </c>
      <c r="O239" s="8">
        <v>0.20636657740009198</v>
      </c>
      <c r="P239" s="8">
        <v>100</v>
      </c>
      <c r="Q239" s="8">
        <v>5.3344768996915519</v>
      </c>
    </row>
    <row r="240" spans="1:17" x14ac:dyDescent="0.2">
      <c r="B240" s="5"/>
      <c r="C240" s="5"/>
      <c r="D240" s="28" t="s">
        <v>34</v>
      </c>
      <c r="E240" s="8">
        <v>75.418458546295952</v>
      </c>
      <c r="F240" s="8">
        <v>0.26189689468203525</v>
      </c>
      <c r="G240" s="8">
        <v>13.157414834705383</v>
      </c>
      <c r="H240" s="8">
        <v>1.6713075670301096</v>
      </c>
      <c r="I240" s="8">
        <v>5.958400033425424E-2</v>
      </c>
      <c r="J240" s="8">
        <v>0.26131403416782051</v>
      </c>
      <c r="K240" s="8">
        <v>1.4266542462903877</v>
      </c>
      <c r="L240" s="8">
        <v>3.7776131388794361</v>
      </c>
      <c r="M240" s="8">
        <v>3.7058792271823613</v>
      </c>
      <c r="N240" s="8">
        <v>6.2176724690588804E-2</v>
      </c>
      <c r="O240" s="8">
        <v>0.25543994263345665</v>
      </c>
      <c r="P240" s="8">
        <v>100</v>
      </c>
      <c r="Q240" s="8">
        <v>5.4662330759652349</v>
      </c>
    </row>
    <row r="241" spans="1:17" x14ac:dyDescent="0.2">
      <c r="B241" s="5"/>
      <c r="C241" s="5"/>
      <c r="D241" s="30" t="s">
        <v>20</v>
      </c>
      <c r="E241" s="16">
        <f t="shared" ref="E241:Q241" si="28">AVERAGE(E237:E240)</f>
        <v>74.960812299832654</v>
      </c>
      <c r="F241" s="16">
        <f t="shared" si="28"/>
        <v>0.31118869393883097</v>
      </c>
      <c r="G241" s="16">
        <f t="shared" si="28"/>
        <v>13.290732534247061</v>
      </c>
      <c r="H241" s="16">
        <f t="shared" si="28"/>
        <v>1.7124491948387974</v>
      </c>
      <c r="I241" s="16">
        <f t="shared" si="28"/>
        <v>9.9316413544531121E-2</v>
      </c>
      <c r="J241" s="16">
        <f t="shared" si="28"/>
        <v>0.29041907098039577</v>
      </c>
      <c r="K241" s="16">
        <f t="shared" si="28"/>
        <v>1.4432124425967028</v>
      </c>
      <c r="L241" s="16">
        <f t="shared" si="28"/>
        <v>3.8851315422325712</v>
      </c>
      <c r="M241" s="16">
        <f t="shared" si="28"/>
        <v>3.7426791356102509</v>
      </c>
      <c r="N241" s="16">
        <f t="shared" si="28"/>
        <v>6.7772796554283657E-2</v>
      </c>
      <c r="O241" s="16">
        <f t="shared" si="28"/>
        <v>0.25355392783426078</v>
      </c>
      <c r="P241" s="16">
        <f t="shared" si="28"/>
        <v>100</v>
      </c>
      <c r="Q241" s="16">
        <f t="shared" si="28"/>
        <v>5.0628314191180728</v>
      </c>
    </row>
    <row r="242" spans="1:17" x14ac:dyDescent="0.2">
      <c r="B242" s="5"/>
      <c r="C242" s="5"/>
      <c r="D242" s="30" t="s">
        <v>61</v>
      </c>
      <c r="E242" s="16">
        <f t="shared" ref="E242:Q242" si="29">STDEV(E237:E240)</f>
        <v>0.33403647120887492</v>
      </c>
      <c r="F242" s="16">
        <f t="shared" si="29"/>
        <v>3.6519971608001543E-2</v>
      </c>
      <c r="G242" s="16">
        <f t="shared" si="29"/>
        <v>0.1048542129902818</v>
      </c>
      <c r="H242" s="16">
        <f t="shared" si="29"/>
        <v>6.9119803447355618E-2</v>
      </c>
      <c r="I242" s="16">
        <f t="shared" si="29"/>
        <v>5.6931507396501622E-2</v>
      </c>
      <c r="J242" s="16">
        <f t="shared" si="29"/>
        <v>2.4974753471221519E-2</v>
      </c>
      <c r="K242" s="16">
        <f t="shared" si="29"/>
        <v>3.3243765117916373E-2</v>
      </c>
      <c r="L242" s="16">
        <f t="shared" si="29"/>
        <v>0.11954002622191477</v>
      </c>
      <c r="M242" s="16">
        <f t="shared" si="29"/>
        <v>5.2425361859883203E-2</v>
      </c>
      <c r="N242" s="16">
        <f t="shared" si="29"/>
        <v>5.0926760177525503E-2</v>
      </c>
      <c r="O242" s="16">
        <f t="shared" si="29"/>
        <v>3.3650866668470426E-2</v>
      </c>
      <c r="P242" s="16">
        <f t="shared" si="29"/>
        <v>0</v>
      </c>
      <c r="Q242" s="16">
        <f t="shared" si="29"/>
        <v>0.43502738414960568</v>
      </c>
    </row>
    <row r="243" spans="1:17" x14ac:dyDescent="0.2">
      <c r="B243" s="5"/>
      <c r="C243" s="5"/>
      <c r="D243" s="23"/>
    </row>
    <row r="244" spans="1:17" x14ac:dyDescent="0.2">
      <c r="A244" s="1" t="s">
        <v>71</v>
      </c>
      <c r="B244" s="5"/>
      <c r="C244" s="5"/>
      <c r="D244" s="28" t="s">
        <v>259</v>
      </c>
      <c r="E244" s="17">
        <v>68.031144836950901</v>
      </c>
      <c r="F244" s="17">
        <v>0.7173968580638127</v>
      </c>
      <c r="G244" s="17">
        <v>15.135548351071352</v>
      </c>
      <c r="H244" s="17">
        <v>4.2935805907710796</v>
      </c>
      <c r="I244" s="17">
        <v>6.2550617496370392E-2</v>
      </c>
      <c r="J244" s="17">
        <v>1.1312274725383771</v>
      </c>
      <c r="K244" s="17">
        <v>3.6181665779756664</v>
      </c>
      <c r="L244" s="17">
        <v>4.3683614596129186</v>
      </c>
      <c r="M244" s="17">
        <v>2.3020068794133794</v>
      </c>
      <c r="N244" s="17">
        <v>0.22816860446626352</v>
      </c>
      <c r="O244" s="17">
        <v>0.14436671193855483</v>
      </c>
      <c r="P244" s="17">
        <v>100</v>
      </c>
      <c r="Q244" s="17">
        <v>1.0976989897985163</v>
      </c>
    </row>
    <row r="245" spans="1:17" x14ac:dyDescent="0.2">
      <c r="B245" s="5"/>
      <c r="C245" s="5"/>
      <c r="D245" s="28" t="s">
        <v>253</v>
      </c>
      <c r="E245" s="17">
        <v>68.305828747530825</v>
      </c>
      <c r="F245" s="17">
        <v>0.72935388975991289</v>
      </c>
      <c r="G245" s="17">
        <v>15.096374832368276</v>
      </c>
      <c r="H245" s="17">
        <v>4.1516252022280682</v>
      </c>
      <c r="I245" s="17">
        <v>8.8819164251380547E-2</v>
      </c>
      <c r="J245" s="17">
        <v>1.1480248256465744</v>
      </c>
      <c r="K245" s="17">
        <v>3.7509799152164249</v>
      </c>
      <c r="L245" s="17">
        <v>4.118979131445891</v>
      </c>
      <c r="M245" s="17">
        <v>2.296096068563771</v>
      </c>
      <c r="N245" s="17">
        <v>0.20996269335036363</v>
      </c>
      <c r="O245" s="17">
        <v>0.13432942580102525</v>
      </c>
      <c r="P245" s="17">
        <v>100</v>
      </c>
      <c r="Q245" s="17">
        <v>1.1519633853846472</v>
      </c>
    </row>
    <row r="246" spans="1:17" x14ac:dyDescent="0.2">
      <c r="B246" s="5"/>
      <c r="C246" s="5"/>
      <c r="D246" s="28" t="s">
        <v>313</v>
      </c>
      <c r="E246" s="17">
        <v>69.055947650232412</v>
      </c>
      <c r="F246" s="17">
        <v>0.69397904601500737</v>
      </c>
      <c r="G246" s="17">
        <v>14.801726136188458</v>
      </c>
      <c r="H246" s="17">
        <v>3.5322305472680062</v>
      </c>
      <c r="I246" s="17">
        <v>0.17115416503481415</v>
      </c>
      <c r="J246" s="17">
        <v>1.0593478169569928</v>
      </c>
      <c r="K246" s="17">
        <v>3.3081941131420134</v>
      </c>
      <c r="L246" s="17">
        <v>4.5669283123227373</v>
      </c>
      <c r="M246" s="17">
        <v>2.5149273118001343</v>
      </c>
      <c r="N246" s="17">
        <v>0.14319897131435361</v>
      </c>
      <c r="O246" s="17">
        <v>0.19684582517847113</v>
      </c>
      <c r="P246" s="17">
        <v>100</v>
      </c>
      <c r="Q246" s="17">
        <v>0.73043214260070499</v>
      </c>
    </row>
    <row r="247" spans="1:17" x14ac:dyDescent="0.2">
      <c r="B247" s="5"/>
      <c r="C247" s="5"/>
      <c r="D247" s="28" t="s">
        <v>316</v>
      </c>
      <c r="E247" s="17">
        <v>70.091777253000686</v>
      </c>
      <c r="F247" s="17">
        <v>0.63045187628406063</v>
      </c>
      <c r="G247" s="17">
        <v>14.863921497062069</v>
      </c>
      <c r="H247" s="17">
        <v>3.5008509734771551</v>
      </c>
      <c r="I247" s="17">
        <v>8.9513995682020189E-2</v>
      </c>
      <c r="J247" s="17">
        <v>0.88187344553679514</v>
      </c>
      <c r="K247" s="17">
        <v>3.0927470277358191</v>
      </c>
      <c r="L247" s="17">
        <v>4.0510139939028589</v>
      </c>
      <c r="M247" s="17">
        <v>2.5456401867021574</v>
      </c>
      <c r="N247" s="17">
        <v>0.10966595992913124</v>
      </c>
      <c r="O247" s="17">
        <v>0.18410300934270327</v>
      </c>
      <c r="P247" s="17">
        <v>100</v>
      </c>
      <c r="Q247" s="17">
        <v>3.4486179043845766</v>
      </c>
    </row>
    <row r="248" spans="1:17" x14ac:dyDescent="0.2">
      <c r="B248" s="5"/>
      <c r="C248" s="5"/>
      <c r="D248" s="28" t="s">
        <v>322</v>
      </c>
      <c r="E248" s="17">
        <v>70.182166605795672</v>
      </c>
      <c r="F248" s="17">
        <v>0.70877905925611118</v>
      </c>
      <c r="G248" s="17">
        <v>14.504156008378438</v>
      </c>
      <c r="H248" s="17">
        <v>3.5313629008552505</v>
      </c>
      <c r="I248" s="17">
        <v>0.109309607058793</v>
      </c>
      <c r="J248" s="17">
        <v>0.89075530985806162</v>
      </c>
      <c r="K248" s="17">
        <v>2.9391477678185307</v>
      </c>
      <c r="L248" s="17">
        <v>4.5886073146068007</v>
      </c>
      <c r="M248" s="17">
        <v>2.3615656121552329</v>
      </c>
      <c r="N248" s="17">
        <v>3.6959688567562904E-2</v>
      </c>
      <c r="O248" s="17">
        <v>0.19009574522388409</v>
      </c>
      <c r="P248" s="17">
        <v>100</v>
      </c>
      <c r="Q248" s="17">
        <v>1.1761153419035963</v>
      </c>
    </row>
    <row r="249" spans="1:17" x14ac:dyDescent="0.2">
      <c r="B249" s="5"/>
      <c r="C249" s="5"/>
      <c r="D249" s="28" t="s">
        <v>321</v>
      </c>
      <c r="E249" s="17">
        <v>71.86059047759197</v>
      </c>
      <c r="F249" s="17">
        <v>0.56175965110410975</v>
      </c>
      <c r="G249" s="17">
        <v>14.421397936681798</v>
      </c>
      <c r="H249" s="17">
        <v>2.8112350397466312</v>
      </c>
      <c r="I249" s="17">
        <v>0.12175476324953406</v>
      </c>
      <c r="J249" s="17">
        <v>0.68832184878714719</v>
      </c>
      <c r="K249" s="17">
        <v>2.5151377765004614</v>
      </c>
      <c r="L249" s="17">
        <v>4.1868328023796249</v>
      </c>
      <c r="M249" s="17">
        <v>2.5921228347956409</v>
      </c>
      <c r="N249" s="17">
        <v>0.13411978984643702</v>
      </c>
      <c r="O249" s="17">
        <v>0.13794945825018448</v>
      </c>
      <c r="P249" s="17">
        <v>100</v>
      </c>
      <c r="Q249" s="17">
        <v>1.714728191171659</v>
      </c>
    </row>
    <row r="250" spans="1:17" x14ac:dyDescent="0.2">
      <c r="B250" s="5"/>
      <c r="C250" s="5"/>
      <c r="D250" s="28" t="s">
        <v>312</v>
      </c>
      <c r="E250" s="17">
        <v>75.605188519228903</v>
      </c>
      <c r="F250" s="17">
        <v>0.43349989388423132</v>
      </c>
      <c r="G250" s="17">
        <v>12.803689991749032</v>
      </c>
      <c r="H250" s="17">
        <v>2.0744290066826507</v>
      </c>
      <c r="I250" s="17">
        <v>0</v>
      </c>
      <c r="J250" s="17">
        <v>0.38205927669049472</v>
      </c>
      <c r="K250" s="17">
        <v>1.5962688311453743</v>
      </c>
      <c r="L250" s="17">
        <v>4.1384500467380114</v>
      </c>
      <c r="M250" s="17">
        <v>2.81503308549284</v>
      </c>
      <c r="N250" s="17">
        <v>0</v>
      </c>
      <c r="O250" s="17">
        <v>0.19543433024120466</v>
      </c>
      <c r="P250" s="17">
        <v>100</v>
      </c>
      <c r="Q250" s="17">
        <v>1.0373460173054241</v>
      </c>
    </row>
    <row r="251" spans="1:17" x14ac:dyDescent="0.2">
      <c r="B251" s="5"/>
      <c r="C251" s="5"/>
      <c r="D251" s="28" t="s">
        <v>315</v>
      </c>
      <c r="E251" s="17">
        <v>76.142542827491752</v>
      </c>
      <c r="F251" s="17">
        <v>0.39356523437108781</v>
      </c>
      <c r="G251" s="17">
        <v>12.684790122389447</v>
      </c>
      <c r="H251" s="17">
        <v>1.9021942170287232</v>
      </c>
      <c r="I251" s="17">
        <v>0.11893539735460897</v>
      </c>
      <c r="J251" s="17">
        <v>0.30259471213738981</v>
      </c>
      <c r="K251" s="17">
        <v>1.3509063869015128</v>
      </c>
      <c r="L251" s="17">
        <v>3.9238952154893703</v>
      </c>
      <c r="M251" s="17">
        <v>2.9792767616376166</v>
      </c>
      <c r="N251" s="17">
        <v>7.5765528651960512E-2</v>
      </c>
      <c r="O251" s="17">
        <v>0.16211041366155754</v>
      </c>
      <c r="P251" s="17">
        <v>100</v>
      </c>
      <c r="Q251" s="17">
        <v>2.8674368022169006</v>
      </c>
    </row>
    <row r="252" spans="1:17" x14ac:dyDescent="0.2">
      <c r="B252" s="5"/>
      <c r="C252" s="5"/>
      <c r="D252" s="28" t="s">
        <v>317</v>
      </c>
      <c r="E252" s="17">
        <v>76.916862527562728</v>
      </c>
      <c r="F252" s="17">
        <v>0.34308191738639637</v>
      </c>
      <c r="G252" s="17">
        <v>12.360010564067663</v>
      </c>
      <c r="H252" s="17">
        <v>1.8683857088602742</v>
      </c>
      <c r="I252" s="17">
        <v>7.6196344484496553E-2</v>
      </c>
      <c r="J252" s="17">
        <v>0.2385652297245007</v>
      </c>
      <c r="K252" s="17">
        <v>1.216310593566823</v>
      </c>
      <c r="L252" s="17">
        <v>3.8825687775844187</v>
      </c>
      <c r="M252" s="17">
        <v>2.9272551195708925</v>
      </c>
      <c r="N252" s="17">
        <v>5.2325311788015222E-2</v>
      </c>
      <c r="O252" s="17">
        <v>0.15302989922714968</v>
      </c>
      <c r="P252" s="17">
        <v>100</v>
      </c>
      <c r="Q252" s="17">
        <v>1.4454033089745622</v>
      </c>
    </row>
    <row r="253" spans="1:17" x14ac:dyDescent="0.2">
      <c r="B253" s="5"/>
      <c r="C253" s="5"/>
      <c r="D253" s="28" t="s">
        <v>320</v>
      </c>
      <c r="E253" s="17">
        <v>77.678627497899171</v>
      </c>
      <c r="F253" s="17">
        <v>0.16320807657256264</v>
      </c>
      <c r="G253" s="17">
        <v>12.111691650887598</v>
      </c>
      <c r="H253" s="17">
        <v>1.2636956330151738</v>
      </c>
      <c r="I253" s="17">
        <v>8.5064084815181656E-2</v>
      </c>
      <c r="J253" s="17">
        <v>0.12653391677979972</v>
      </c>
      <c r="K253" s="17">
        <v>0.69950666506714221</v>
      </c>
      <c r="L253" s="17">
        <v>4.6601718597601325</v>
      </c>
      <c r="M253" s="17">
        <v>3.0919578084162822</v>
      </c>
      <c r="N253" s="17">
        <v>0</v>
      </c>
      <c r="O253" s="17">
        <v>0.15442226717796456</v>
      </c>
      <c r="P253" s="17">
        <v>100</v>
      </c>
      <c r="Q253" s="17">
        <v>1.431961347527789</v>
      </c>
    </row>
    <row r="254" spans="1:17" x14ac:dyDescent="0.2">
      <c r="B254" s="5"/>
      <c r="C254" s="5"/>
      <c r="D254" s="28" t="s">
        <v>319</v>
      </c>
      <c r="E254" s="17">
        <v>77.940969173896789</v>
      </c>
      <c r="F254" s="17">
        <v>0.10497831494941942</v>
      </c>
      <c r="G254" s="17">
        <v>12.354548509621212</v>
      </c>
      <c r="H254" s="17">
        <v>1.2634476984947671</v>
      </c>
      <c r="I254" s="17">
        <v>7.4401606994810021E-2</v>
      </c>
      <c r="J254" s="17">
        <v>0.10626710446844892</v>
      </c>
      <c r="K254" s="17">
        <v>0.74697412952544995</v>
      </c>
      <c r="L254" s="17">
        <v>4.0268869384522965</v>
      </c>
      <c r="M254" s="17">
        <v>3.2379682893490567</v>
      </c>
      <c r="N254" s="17">
        <v>1.4896267267717422E-2</v>
      </c>
      <c r="O254" s="17">
        <v>0.16607420462325478</v>
      </c>
      <c r="P254" s="17">
        <v>100</v>
      </c>
      <c r="Q254" s="17">
        <v>0.91477458928744682</v>
      </c>
    </row>
    <row r="255" spans="1:17" x14ac:dyDescent="0.2">
      <c r="B255" s="5"/>
      <c r="C255" s="5"/>
      <c r="D255" s="28" t="s">
        <v>318</v>
      </c>
      <c r="E255" s="17">
        <v>78.20793705175943</v>
      </c>
      <c r="F255" s="17">
        <v>0.13294339648540646</v>
      </c>
      <c r="G255" s="17">
        <v>12.191064884819419</v>
      </c>
      <c r="H255" s="17">
        <v>1.1740331791914984</v>
      </c>
      <c r="I255" s="17">
        <v>0.14684404196414505</v>
      </c>
      <c r="J255" s="17">
        <v>0.11191924156257622</v>
      </c>
      <c r="K255" s="17">
        <v>0.67054133764625679</v>
      </c>
      <c r="L255" s="17">
        <v>4.0269616363905314</v>
      </c>
      <c r="M255" s="17">
        <v>3.1904896487299945</v>
      </c>
      <c r="N255" s="17">
        <v>0</v>
      </c>
      <c r="O255" s="17">
        <v>0.19011938723094665</v>
      </c>
      <c r="P255" s="17">
        <v>100</v>
      </c>
      <c r="Q255" s="17">
        <v>1.5513342820550378</v>
      </c>
    </row>
    <row r="256" spans="1:17" x14ac:dyDescent="0.2">
      <c r="B256" s="5"/>
      <c r="C256" s="5"/>
      <c r="D256" s="28" t="s">
        <v>311</v>
      </c>
      <c r="E256" s="17">
        <v>78.245783939847243</v>
      </c>
      <c r="F256" s="17">
        <v>0.12965904955867322</v>
      </c>
      <c r="G256" s="17">
        <v>11.96430808355975</v>
      </c>
      <c r="H256" s="17">
        <v>1.2794391087008414</v>
      </c>
      <c r="I256" s="17">
        <v>6.9837548573394692E-2</v>
      </c>
      <c r="J256" s="17">
        <v>0.10651574916740053</v>
      </c>
      <c r="K256" s="17">
        <v>0.7257381883450349</v>
      </c>
      <c r="L256" s="17">
        <v>4.2138461367396722</v>
      </c>
      <c r="M256" s="17">
        <v>3.0849940059318564</v>
      </c>
      <c r="N256" s="17">
        <v>1.4861515690738103E-2</v>
      </c>
      <c r="O256" s="17">
        <v>0.21334956396014976</v>
      </c>
      <c r="P256" s="17">
        <v>100</v>
      </c>
      <c r="Q256" s="17">
        <v>0.6494336967140697</v>
      </c>
    </row>
    <row r="257" spans="1:17" x14ac:dyDescent="0.2">
      <c r="B257" s="5"/>
      <c r="C257" s="5"/>
      <c r="D257" s="28" t="s">
        <v>256</v>
      </c>
      <c r="E257" s="17">
        <v>78.269685806024981</v>
      </c>
      <c r="F257" s="17">
        <v>0.18171544569357276</v>
      </c>
      <c r="G257" s="17">
        <v>12.124509832083415</v>
      </c>
      <c r="H257" s="17">
        <v>1.1652054484483312</v>
      </c>
      <c r="I257" s="17">
        <v>1.3146047479221414E-2</v>
      </c>
      <c r="J257" s="17">
        <v>9.8937264436205666E-2</v>
      </c>
      <c r="K257" s="17">
        <v>0.70530691122557143</v>
      </c>
      <c r="L257" s="17">
        <v>4.0272762417078809</v>
      </c>
      <c r="M257" s="17">
        <v>3.2529453529029522</v>
      </c>
      <c r="N257" s="17">
        <v>1.4911648016576698E-2</v>
      </c>
      <c r="O257" s="17">
        <v>0.1890485463235495</v>
      </c>
      <c r="P257" s="17">
        <v>100</v>
      </c>
      <c r="Q257" s="17">
        <v>0.99685840499623168</v>
      </c>
    </row>
    <row r="258" spans="1:17" x14ac:dyDescent="0.2">
      <c r="B258" s="5"/>
      <c r="C258" s="5"/>
      <c r="D258" s="28" t="s">
        <v>263</v>
      </c>
      <c r="E258" s="17">
        <v>78.538403114723877</v>
      </c>
      <c r="F258" s="17">
        <v>0.20770598875639087</v>
      </c>
      <c r="G258" s="17">
        <v>11.929022113184237</v>
      </c>
      <c r="H258" s="17">
        <v>1.1381345445068098</v>
      </c>
      <c r="I258" s="17">
        <v>0.11700480730217808</v>
      </c>
      <c r="J258" s="17">
        <v>0.1562629992259352</v>
      </c>
      <c r="K258" s="17">
        <v>0.94697503750788004</v>
      </c>
      <c r="L258" s="17">
        <v>3.7892839125357507</v>
      </c>
      <c r="M258" s="17">
        <v>3.0103801441463722</v>
      </c>
      <c r="N258" s="17">
        <v>0</v>
      </c>
      <c r="O258" s="17">
        <v>0.21553618286841592</v>
      </c>
      <c r="P258" s="17">
        <v>100</v>
      </c>
      <c r="Q258" s="17">
        <v>1.1391047367275746</v>
      </c>
    </row>
    <row r="259" spans="1:17" x14ac:dyDescent="0.2">
      <c r="B259" s="5"/>
      <c r="C259" s="5"/>
      <c r="D259" s="30" t="s">
        <v>20</v>
      </c>
      <c r="E259" s="16">
        <f t="shared" ref="E259:Q259" si="30">AVERAGE(E244:E258)</f>
        <v>74.338230401969156</v>
      </c>
      <c r="F259" s="16">
        <f t="shared" si="30"/>
        <v>0.40880517987605031</v>
      </c>
      <c r="G259" s="16">
        <f t="shared" si="30"/>
        <v>13.289784034274144</v>
      </c>
      <c r="H259" s="16">
        <f>AVERAGE(H244:H258)</f>
        <v>2.3299899866183509</v>
      </c>
      <c r="I259" s="16">
        <f t="shared" si="30"/>
        <v>8.963547944939658E-2</v>
      </c>
      <c r="J259" s="16">
        <f t="shared" si="30"/>
        <v>0.49528041423444669</v>
      </c>
      <c r="K259" s="16">
        <f t="shared" si="30"/>
        <v>1.8588600839546638</v>
      </c>
      <c r="L259" s="16">
        <f t="shared" si="30"/>
        <v>4.1713375853112602</v>
      </c>
      <c r="M259" s="16">
        <f t="shared" si="30"/>
        <v>2.813510607307212</v>
      </c>
      <c r="N259" s="16">
        <f t="shared" si="30"/>
        <v>6.8989065259274659E-2</v>
      </c>
      <c r="O259" s="16">
        <f t="shared" si="30"/>
        <v>0.17512099806993439</v>
      </c>
      <c r="P259" s="16">
        <f t="shared" si="30"/>
        <v>100</v>
      </c>
      <c r="Q259" s="16">
        <f t="shared" si="30"/>
        <v>1.4235472760699157</v>
      </c>
    </row>
    <row r="260" spans="1:17" x14ac:dyDescent="0.2">
      <c r="B260" s="5"/>
      <c r="C260" s="5"/>
      <c r="D260" s="30" t="s">
        <v>61</v>
      </c>
      <c r="E260" s="16">
        <f t="shared" ref="E260:Q260" si="31">STDEV(E244:E258)</f>
        <v>4.1790727372689505</v>
      </c>
      <c r="F260" s="16">
        <f t="shared" si="31"/>
        <v>0.2457691048396074</v>
      </c>
      <c r="G260" s="16">
        <f t="shared" si="31"/>
        <v>1.3118335411925293</v>
      </c>
      <c r="H260" s="16">
        <f t="shared" si="31"/>
        <v>1.1837671514509303</v>
      </c>
      <c r="I260" s="16">
        <f t="shared" si="31"/>
        <v>4.5031227973702508E-2</v>
      </c>
      <c r="J260" s="16">
        <f t="shared" si="31"/>
        <v>0.41961502787582161</v>
      </c>
      <c r="K260" s="16">
        <f t="shared" si="31"/>
        <v>1.1974545155251213</v>
      </c>
      <c r="L260" s="16">
        <f t="shared" si="31"/>
        <v>0.26481469029452892</v>
      </c>
      <c r="M260" s="16">
        <f t="shared" si="31"/>
        <v>0.3473696981560217</v>
      </c>
      <c r="N260" s="16">
        <f t="shared" si="31"/>
        <v>7.8277462913415724E-2</v>
      </c>
      <c r="O260" s="16">
        <f t="shared" si="31"/>
        <v>2.6541522171941095E-2</v>
      </c>
      <c r="P260" s="16">
        <f t="shared" si="31"/>
        <v>0</v>
      </c>
      <c r="Q260" s="16">
        <f t="shared" si="31"/>
        <v>0.76900595621516699</v>
      </c>
    </row>
    <row r="261" spans="1:17" x14ac:dyDescent="0.2">
      <c r="B261" s="5"/>
      <c r="C261" s="5"/>
      <c r="D261" s="23"/>
    </row>
    <row r="262" spans="1:17" x14ac:dyDescent="0.2">
      <c r="A262" s="1" t="s">
        <v>71</v>
      </c>
      <c r="B262" s="19">
        <v>256.04000000000002</v>
      </c>
      <c r="C262" s="19">
        <v>256.06</v>
      </c>
      <c r="D262" s="28" t="s">
        <v>488</v>
      </c>
      <c r="E262" s="8">
        <v>69.323699664308847</v>
      </c>
      <c r="F262" s="8">
        <v>0.68962359112253913</v>
      </c>
      <c r="G262" s="8">
        <v>14.760037762246961</v>
      </c>
      <c r="H262" s="8">
        <v>3.600011609533857</v>
      </c>
      <c r="I262" s="8">
        <v>0.14461444381850561</v>
      </c>
      <c r="J262" s="8">
        <v>1.0060990711462807</v>
      </c>
      <c r="K262" s="8">
        <v>3.3540885508043572</v>
      </c>
      <c r="L262" s="8">
        <v>4.4659073317714473</v>
      </c>
      <c r="M262" s="8">
        <v>2.3293473722345857</v>
      </c>
      <c r="N262" s="8">
        <v>0.21228871101478686</v>
      </c>
      <c r="O262" s="8">
        <v>0.1480638116178058</v>
      </c>
      <c r="P262" s="8">
        <v>100</v>
      </c>
      <c r="Q262" s="8">
        <v>0.38754345949632807</v>
      </c>
    </row>
    <row r="263" spans="1:17" x14ac:dyDescent="0.2">
      <c r="A263" s="5"/>
      <c r="B263" s="5"/>
      <c r="C263" s="5"/>
      <c r="D263" s="28" t="s">
        <v>489</v>
      </c>
      <c r="E263" s="8">
        <v>70.491998837028333</v>
      </c>
      <c r="F263" s="8">
        <v>0.68143160498397182</v>
      </c>
      <c r="G263" s="8">
        <v>14.449291665811762</v>
      </c>
      <c r="H263" s="8">
        <v>3.3351033541273458</v>
      </c>
      <c r="I263" s="8">
        <v>6.7285847341652702E-2</v>
      </c>
      <c r="J263" s="8">
        <v>0.82575291681596363</v>
      </c>
      <c r="K263" s="8">
        <v>2.9819751216474057</v>
      </c>
      <c r="L263" s="8">
        <v>4.2897706927195749</v>
      </c>
      <c r="M263" s="8">
        <v>2.5298682893656865</v>
      </c>
      <c r="N263" s="8">
        <v>0.21481713922936008</v>
      </c>
      <c r="O263" s="8">
        <v>0.17137743756542673</v>
      </c>
      <c r="P263" s="8">
        <v>100</v>
      </c>
      <c r="Q263" s="8">
        <v>1.4012565478521424</v>
      </c>
    </row>
    <row r="264" spans="1:17" x14ac:dyDescent="0.2">
      <c r="B264" s="5"/>
      <c r="C264" s="5"/>
      <c r="D264" s="28" t="s">
        <v>490</v>
      </c>
      <c r="E264" s="8">
        <v>73.89033488407631</v>
      </c>
      <c r="F264" s="8">
        <v>0.52126825728451476</v>
      </c>
      <c r="G264" s="8">
        <v>13.592691491834527</v>
      </c>
      <c r="H264" s="8">
        <v>2.2679246966704842</v>
      </c>
      <c r="I264" s="8">
        <v>0</v>
      </c>
      <c r="J264" s="8">
        <v>0.505937754951302</v>
      </c>
      <c r="K264" s="8">
        <v>2.0818224758650192</v>
      </c>
      <c r="L264" s="8">
        <v>4.1422126218264266</v>
      </c>
      <c r="M264" s="8">
        <v>2.7420007403448179</v>
      </c>
      <c r="N264" s="8">
        <v>0.11807091664450453</v>
      </c>
      <c r="O264" s="8">
        <v>0.1772858996447387</v>
      </c>
      <c r="P264" s="8">
        <v>100</v>
      </c>
      <c r="Q264" s="8">
        <v>0.57077277254786907</v>
      </c>
    </row>
    <row r="265" spans="1:17" x14ac:dyDescent="0.2">
      <c r="B265" s="5"/>
      <c r="C265" s="5"/>
      <c r="D265" s="28" t="s">
        <v>491</v>
      </c>
      <c r="E265" s="8">
        <v>76.879307273658199</v>
      </c>
      <c r="F265" s="8">
        <v>0.22915570076927594</v>
      </c>
      <c r="G265" s="8">
        <v>12.46031850375752</v>
      </c>
      <c r="H265" s="8">
        <v>1.4369069367087279</v>
      </c>
      <c r="I265" s="8">
        <v>8.8974405117425714E-3</v>
      </c>
      <c r="J265" s="8">
        <v>0.19955527036773033</v>
      </c>
      <c r="K265" s="8">
        <v>1.1532971791118865</v>
      </c>
      <c r="L265" s="8">
        <v>4.4558906546258559</v>
      </c>
      <c r="M265" s="8">
        <v>3.0363350690926572</v>
      </c>
      <c r="N265" s="8">
        <v>0</v>
      </c>
      <c r="O265" s="8">
        <v>0.18131172725074493</v>
      </c>
      <c r="P265" s="8">
        <v>100</v>
      </c>
      <c r="Q265" s="8">
        <v>2.3764195047274512</v>
      </c>
    </row>
    <row r="266" spans="1:17" x14ac:dyDescent="0.2">
      <c r="B266" s="5"/>
      <c r="C266" s="5"/>
      <c r="D266" s="28" t="s">
        <v>491</v>
      </c>
      <c r="E266" s="8">
        <v>76.879307273658199</v>
      </c>
      <c r="F266" s="8">
        <v>0.22915570076927594</v>
      </c>
      <c r="G266" s="8">
        <v>12.46031850375752</v>
      </c>
      <c r="H266" s="8">
        <v>1.4369069367087279</v>
      </c>
      <c r="I266" s="8">
        <v>8.8974405117425714E-3</v>
      </c>
      <c r="J266" s="8">
        <v>0.19955527036773033</v>
      </c>
      <c r="K266" s="8">
        <v>1.1532971791118865</v>
      </c>
      <c r="L266" s="8">
        <v>4.4558906546258559</v>
      </c>
      <c r="M266" s="8">
        <v>3.0363350690926572</v>
      </c>
      <c r="N266" s="8">
        <v>0</v>
      </c>
      <c r="O266" s="8">
        <v>0.18131172725074493</v>
      </c>
      <c r="P266" s="8">
        <v>100</v>
      </c>
      <c r="Q266" s="8">
        <v>2.3764195047274512</v>
      </c>
    </row>
    <row r="267" spans="1:17" x14ac:dyDescent="0.2">
      <c r="B267" s="5"/>
      <c r="C267" s="5"/>
      <c r="D267" s="28" t="s">
        <v>492</v>
      </c>
      <c r="E267" s="8">
        <v>77.168420818585261</v>
      </c>
      <c r="F267" s="8">
        <v>0.29956619531015283</v>
      </c>
      <c r="G267" s="8">
        <v>12.123838241189528</v>
      </c>
      <c r="H267" s="8">
        <v>1.564519510669093</v>
      </c>
      <c r="I267" s="8">
        <v>7.9346761360435711E-2</v>
      </c>
      <c r="J267" s="8">
        <v>0.24781707100520345</v>
      </c>
      <c r="K267" s="8">
        <v>1.1173528808141331</v>
      </c>
      <c r="L267" s="8">
        <v>4.1829941211644108</v>
      </c>
      <c r="M267" s="8">
        <v>3.068186451436631</v>
      </c>
      <c r="N267" s="8">
        <v>0</v>
      </c>
      <c r="O267" s="8">
        <v>0.19110337839732397</v>
      </c>
      <c r="P267" s="8">
        <v>100</v>
      </c>
      <c r="Q267" s="8">
        <v>1.5422952864789607</v>
      </c>
    </row>
    <row r="268" spans="1:17" x14ac:dyDescent="0.2">
      <c r="B268" s="5"/>
      <c r="C268" s="5"/>
      <c r="D268" s="28" t="s">
        <v>493</v>
      </c>
      <c r="E268" s="8">
        <v>77.510900793502401</v>
      </c>
      <c r="F268" s="8">
        <v>0.25047189042022688</v>
      </c>
      <c r="G268" s="8">
        <v>12.302614778080423</v>
      </c>
      <c r="H268" s="8">
        <v>1.3414090875349864</v>
      </c>
      <c r="I268" s="8">
        <v>1.4535843860399656E-3</v>
      </c>
      <c r="J268" s="8">
        <v>0.18392868708806809</v>
      </c>
      <c r="K268" s="8">
        <v>1.0474452687177893</v>
      </c>
      <c r="L268" s="8">
        <v>4.0399191383076456</v>
      </c>
      <c r="M268" s="8">
        <v>3.1606657233444984</v>
      </c>
      <c r="N268" s="8">
        <v>0</v>
      </c>
      <c r="O268" s="8">
        <v>0.2083531268028766</v>
      </c>
      <c r="P268" s="8">
        <v>100</v>
      </c>
      <c r="Q268" s="8">
        <v>0.52177129259264632</v>
      </c>
    </row>
    <row r="269" spans="1:17" x14ac:dyDescent="0.2">
      <c r="B269" s="5"/>
      <c r="C269" s="5"/>
      <c r="D269" s="28" t="s">
        <v>494</v>
      </c>
      <c r="E269" s="8">
        <v>77.668978935766006</v>
      </c>
      <c r="F269" s="8">
        <v>0.31760961403031684</v>
      </c>
      <c r="G269" s="8">
        <v>12.213909111458262</v>
      </c>
      <c r="H269" s="8">
        <v>1.4438246207109717</v>
      </c>
      <c r="I269" s="8">
        <v>8.7245600865334012E-3</v>
      </c>
      <c r="J269" s="8">
        <v>0.25094306549505951</v>
      </c>
      <c r="K269" s="8">
        <v>1.1334782608212146</v>
      </c>
      <c r="L269" s="8">
        <v>3.835173301390836</v>
      </c>
      <c r="M269" s="8">
        <v>2.9553642293723614</v>
      </c>
      <c r="N269" s="8">
        <v>0</v>
      </c>
      <c r="O269" s="8">
        <v>0.22209736919788334</v>
      </c>
      <c r="P269" s="8">
        <v>100</v>
      </c>
      <c r="Q269" s="8">
        <v>0.63682393131958293</v>
      </c>
    </row>
    <row r="270" spans="1:17" x14ac:dyDescent="0.2">
      <c r="B270" s="5"/>
      <c r="C270" s="5"/>
      <c r="D270" s="28" t="s">
        <v>495</v>
      </c>
      <c r="E270" s="8">
        <v>77.781496236618594</v>
      </c>
      <c r="F270" s="8">
        <v>0.1361329685872556</v>
      </c>
      <c r="G270" s="8">
        <v>12.070644898118243</v>
      </c>
      <c r="H270" s="8">
        <v>1.1131683253642937</v>
      </c>
      <c r="I270" s="8">
        <v>6.250667283108241E-2</v>
      </c>
      <c r="J270" s="8">
        <v>0.11581935519590213</v>
      </c>
      <c r="K270" s="8">
        <v>0.69795131386103948</v>
      </c>
      <c r="L270" s="8">
        <v>4.5742213127153519</v>
      </c>
      <c r="M270" s="8">
        <v>3.2460443933500462</v>
      </c>
      <c r="N270" s="8">
        <v>6.3011196575514405E-2</v>
      </c>
      <c r="O270" s="8">
        <v>0.17900341648066415</v>
      </c>
      <c r="P270" s="8">
        <v>100</v>
      </c>
      <c r="Q270" s="8">
        <v>0.50022312326137808</v>
      </c>
    </row>
    <row r="271" spans="1:17" x14ac:dyDescent="0.2">
      <c r="B271" s="5"/>
      <c r="C271" s="5"/>
      <c r="D271" s="28" t="s">
        <v>496</v>
      </c>
      <c r="E271" s="8">
        <v>77.835054927932006</v>
      </c>
      <c r="F271" s="8">
        <v>0.24461988720953851</v>
      </c>
      <c r="G271" s="8">
        <v>12.138464380877382</v>
      </c>
      <c r="H271" s="8">
        <v>1.2120781996265431</v>
      </c>
      <c r="I271" s="8">
        <v>0</v>
      </c>
      <c r="J271" s="8">
        <v>0.18418702205795931</v>
      </c>
      <c r="K271" s="8">
        <v>1.0279744689639392</v>
      </c>
      <c r="L271" s="8">
        <v>4.1761611536294589</v>
      </c>
      <c r="M271" s="8">
        <v>3.0665822857875464</v>
      </c>
      <c r="N271" s="8">
        <v>0</v>
      </c>
      <c r="O271" s="8">
        <v>0.14857499272232394</v>
      </c>
      <c r="P271" s="8">
        <v>100</v>
      </c>
      <c r="Q271" s="8">
        <v>-0.85075372006808436</v>
      </c>
    </row>
    <row r="272" spans="1:17" x14ac:dyDescent="0.2">
      <c r="B272" s="5"/>
      <c r="C272" s="5"/>
      <c r="D272" s="28" t="s">
        <v>497</v>
      </c>
      <c r="E272" s="8">
        <v>77.846840384416993</v>
      </c>
      <c r="F272" s="8">
        <v>0.17286845736068474</v>
      </c>
      <c r="G272" s="8">
        <v>12.114744283410126</v>
      </c>
      <c r="H272" s="8">
        <v>1.2291537066875919</v>
      </c>
      <c r="I272" s="8">
        <v>0</v>
      </c>
      <c r="J272" s="8">
        <v>0.11995094590203767</v>
      </c>
      <c r="K272" s="8">
        <v>0.69875639922801591</v>
      </c>
      <c r="L272" s="8">
        <v>4.4773842042326839</v>
      </c>
      <c r="M272" s="8">
        <v>3.1380641094802173</v>
      </c>
      <c r="N272" s="8">
        <v>0</v>
      </c>
      <c r="O272" s="8">
        <v>0.2611172579929435</v>
      </c>
      <c r="P272" s="8">
        <v>100</v>
      </c>
      <c r="Q272" s="8">
        <v>1.1612629575887468</v>
      </c>
    </row>
    <row r="273" spans="2:17" x14ac:dyDescent="0.2">
      <c r="B273" s="5"/>
      <c r="C273" s="5"/>
      <c r="D273" s="28" t="s">
        <v>498</v>
      </c>
      <c r="E273" s="8">
        <v>77.848985639835647</v>
      </c>
      <c r="F273" s="8">
        <v>0.16206467620115281</v>
      </c>
      <c r="G273" s="8">
        <v>12.11125181032542</v>
      </c>
      <c r="H273" s="8">
        <v>1.1775767512480779</v>
      </c>
      <c r="I273" s="8">
        <v>8.8762000906512581E-2</v>
      </c>
      <c r="J273" s="8">
        <v>0.14025751288280994</v>
      </c>
      <c r="K273" s="8">
        <v>0.68378948045870347</v>
      </c>
      <c r="L273" s="8">
        <v>4.4708510620728914</v>
      </c>
      <c r="M273" s="8">
        <v>3.0995975859777767</v>
      </c>
      <c r="N273" s="8">
        <v>1.4852228682926778E-2</v>
      </c>
      <c r="O273" s="8">
        <v>0.26094898643373277</v>
      </c>
      <c r="P273" s="8">
        <v>100</v>
      </c>
      <c r="Q273" s="8">
        <v>0.67483934611102825</v>
      </c>
    </row>
    <row r="274" spans="2:17" x14ac:dyDescent="0.2">
      <c r="B274" s="5"/>
      <c r="C274" s="5"/>
      <c r="D274" s="28" t="s">
        <v>499</v>
      </c>
      <c r="E274" s="8">
        <v>77.881322617610252</v>
      </c>
      <c r="F274" s="8">
        <v>0.12637250976587797</v>
      </c>
      <c r="G274" s="8">
        <v>12.257322447824174</v>
      </c>
      <c r="H274" s="8">
        <v>1.0889423357729977</v>
      </c>
      <c r="I274" s="8">
        <v>0.11422694912430113</v>
      </c>
      <c r="J274" s="8">
        <v>0.10237377224160937</v>
      </c>
      <c r="K274" s="8">
        <v>0.71541449598346118</v>
      </c>
      <c r="L274" s="8">
        <v>4.3708539169500416</v>
      </c>
      <c r="M274" s="8">
        <v>3.2105551917569723</v>
      </c>
      <c r="N274" s="8">
        <v>0</v>
      </c>
      <c r="O274" s="8">
        <v>0.17120839572612467</v>
      </c>
      <c r="P274" s="8">
        <v>100</v>
      </c>
      <c r="Q274" s="8">
        <v>1.1573005621139316</v>
      </c>
    </row>
    <row r="275" spans="2:17" x14ac:dyDescent="0.2">
      <c r="B275" s="5"/>
      <c r="C275" s="5"/>
      <c r="D275" s="28" t="s">
        <v>500</v>
      </c>
      <c r="E275" s="8">
        <v>77.892324142354951</v>
      </c>
      <c r="F275" s="8">
        <v>0.16420852333074765</v>
      </c>
      <c r="G275" s="8">
        <v>12.080881468442307</v>
      </c>
      <c r="H275" s="8">
        <v>1.2043985643308295</v>
      </c>
      <c r="I275" s="8">
        <v>0.13353193845369984</v>
      </c>
      <c r="J275" s="8">
        <v>9.8782576744905454E-2</v>
      </c>
      <c r="K275" s="8">
        <v>0.69632320228545519</v>
      </c>
      <c r="L275" s="8">
        <v>4.2584135537391186</v>
      </c>
      <c r="M275" s="8">
        <v>3.1654628777706453</v>
      </c>
      <c r="N275" s="8">
        <v>0.10473260163349489</v>
      </c>
      <c r="O275" s="8">
        <v>0.25960860722161166</v>
      </c>
      <c r="P275" s="8">
        <v>100</v>
      </c>
      <c r="Q275" s="8">
        <v>1.344950484877856</v>
      </c>
    </row>
    <row r="276" spans="2:17" x14ac:dyDescent="0.2">
      <c r="B276" s="5"/>
      <c r="C276" s="5"/>
      <c r="D276" s="28" t="s">
        <v>501</v>
      </c>
      <c r="E276" s="8">
        <v>77.918094488939502</v>
      </c>
      <c r="F276" s="8">
        <v>0.1109356770794737</v>
      </c>
      <c r="G276" s="8">
        <v>12.108794728251276</v>
      </c>
      <c r="H276" s="8">
        <v>1.2031788814218454</v>
      </c>
      <c r="I276" s="8">
        <v>6.603524033887459E-2</v>
      </c>
      <c r="J276" s="8">
        <v>9.5469926050306478E-2</v>
      </c>
      <c r="K276" s="8">
        <v>0.74564053266360897</v>
      </c>
      <c r="L276" s="8">
        <v>4.5165546528242775</v>
      </c>
      <c r="M276" s="8">
        <v>3.1369670980971218</v>
      </c>
      <c r="N276" s="8">
        <v>0</v>
      </c>
      <c r="O276" s="8">
        <v>0.12696488774904569</v>
      </c>
      <c r="P276" s="8">
        <v>100</v>
      </c>
      <c r="Q276" s="8">
        <v>1.3238996850594305</v>
      </c>
    </row>
    <row r="277" spans="2:17" x14ac:dyDescent="0.2">
      <c r="B277" s="5"/>
      <c r="C277" s="5"/>
      <c r="D277" s="28" t="s">
        <v>502</v>
      </c>
      <c r="E277" s="8">
        <v>77.919320019468358</v>
      </c>
      <c r="F277" s="8">
        <v>0.13805356490615628</v>
      </c>
      <c r="G277" s="8">
        <v>12.171168721020191</v>
      </c>
      <c r="H277" s="8">
        <v>1.1409570057746379</v>
      </c>
      <c r="I277" s="8">
        <v>2.4981904195999566E-2</v>
      </c>
      <c r="J277" s="8">
        <v>0.1200582716581665</v>
      </c>
      <c r="K277" s="8">
        <v>0.71393847054188431</v>
      </c>
      <c r="L277" s="8">
        <v>4.3593042232375794</v>
      </c>
      <c r="M277" s="8">
        <v>3.1497520371116625</v>
      </c>
      <c r="N277" s="8">
        <v>8.2417448468191615E-2</v>
      </c>
      <c r="O277" s="8">
        <v>0.23250373554163495</v>
      </c>
      <c r="P277" s="8">
        <v>100</v>
      </c>
      <c r="Q277" s="8">
        <v>1.4686798617149321</v>
      </c>
    </row>
    <row r="278" spans="2:17" x14ac:dyDescent="0.2">
      <c r="B278" s="5"/>
      <c r="C278" s="5"/>
      <c r="D278" s="28" t="s">
        <v>503</v>
      </c>
      <c r="E278" s="8">
        <v>78.001992754916046</v>
      </c>
      <c r="F278" s="8">
        <v>0.16507844307557787</v>
      </c>
      <c r="G278" s="8">
        <v>12.17639880053521</v>
      </c>
      <c r="H278" s="8">
        <v>1.1769619004997254</v>
      </c>
      <c r="I278" s="8">
        <v>9.9295573449671604E-2</v>
      </c>
      <c r="J278" s="8">
        <v>7.9989152772650993E-2</v>
      </c>
      <c r="K278" s="8">
        <v>0.69050724152630061</v>
      </c>
      <c r="L278" s="8">
        <v>4.2550683845308228</v>
      </c>
      <c r="M278" s="8">
        <v>3.1098970532110144</v>
      </c>
      <c r="N278" s="8">
        <v>6.0459607475602244E-2</v>
      </c>
      <c r="O278" s="8">
        <v>0.23796650128971911</v>
      </c>
      <c r="P278" s="8">
        <v>100</v>
      </c>
      <c r="Q278" s="8">
        <v>2.2967523832545567</v>
      </c>
    </row>
    <row r="279" spans="2:17" x14ac:dyDescent="0.2">
      <c r="B279" s="5"/>
      <c r="C279" s="5"/>
      <c r="D279" s="28" t="s">
        <v>504</v>
      </c>
      <c r="E279" s="8">
        <v>78.138221931424994</v>
      </c>
      <c r="F279" s="8">
        <v>0.19779986521327314</v>
      </c>
      <c r="G279" s="8">
        <v>11.941829255656371</v>
      </c>
      <c r="H279" s="8">
        <v>1.0829684907016401</v>
      </c>
      <c r="I279" s="8">
        <v>7.2303593226471174E-2</v>
      </c>
      <c r="J279" s="8">
        <v>0.15229316293979583</v>
      </c>
      <c r="K279" s="8">
        <v>0.87997228922480608</v>
      </c>
      <c r="L279" s="8">
        <v>4.0626947420391044</v>
      </c>
      <c r="M279" s="8">
        <v>3.1459468448214984</v>
      </c>
      <c r="N279" s="8">
        <v>0.16225272409018629</v>
      </c>
      <c r="O279" s="8">
        <v>0.21078920548634439</v>
      </c>
      <c r="P279" s="8">
        <v>100</v>
      </c>
      <c r="Q279" s="8">
        <v>2.571549440555998E-2</v>
      </c>
    </row>
    <row r="280" spans="2:17" x14ac:dyDescent="0.2">
      <c r="B280" s="5"/>
      <c r="C280" s="5"/>
      <c r="D280" s="28" t="s">
        <v>505</v>
      </c>
      <c r="E280" s="8">
        <v>78.144310299646548</v>
      </c>
      <c r="F280" s="8">
        <v>0.12109906357702588</v>
      </c>
      <c r="G280" s="8">
        <v>12.096272872417357</v>
      </c>
      <c r="H280" s="8">
        <v>1.1907290867681735</v>
      </c>
      <c r="I280" s="8">
        <v>4.7033199713612958E-2</v>
      </c>
      <c r="J280" s="8">
        <v>9.822433334274161E-2</v>
      </c>
      <c r="K280" s="8">
        <v>0.72597790225191638</v>
      </c>
      <c r="L280" s="8">
        <v>4.2399957280153622</v>
      </c>
      <c r="M280" s="8">
        <v>3.176668070869086</v>
      </c>
      <c r="N280" s="8">
        <v>0</v>
      </c>
      <c r="O280" s="8">
        <v>0.20622499103105088</v>
      </c>
      <c r="P280" s="8">
        <v>100</v>
      </c>
      <c r="Q280" s="8">
        <v>1.5376366439378018</v>
      </c>
    </row>
    <row r="281" spans="2:17" x14ac:dyDescent="0.2">
      <c r="B281" s="5"/>
      <c r="C281" s="5"/>
      <c r="D281" s="28" t="s">
        <v>506</v>
      </c>
      <c r="E281" s="8">
        <v>78.158000221499364</v>
      </c>
      <c r="F281" s="8">
        <v>0.1593222976535045</v>
      </c>
      <c r="G281" s="8">
        <v>12.065710149477999</v>
      </c>
      <c r="H281" s="8">
        <v>1.0972247362335319</v>
      </c>
      <c r="I281" s="8">
        <v>4.8176402798297754E-2</v>
      </c>
      <c r="J281" s="8">
        <v>0.10209894828733812</v>
      </c>
      <c r="K281" s="8">
        <v>0.72834275331130327</v>
      </c>
      <c r="L281" s="8">
        <v>4.359159428339483</v>
      </c>
      <c r="M281" s="8">
        <v>3.1012914462678625</v>
      </c>
      <c r="N281" s="8">
        <v>0</v>
      </c>
      <c r="O281" s="8">
        <v>0.23330085838739276</v>
      </c>
      <c r="P281" s="8">
        <v>100</v>
      </c>
      <c r="Q281" s="8">
        <v>0.87263218895331818</v>
      </c>
    </row>
    <row r="282" spans="2:17" x14ac:dyDescent="0.2">
      <c r="B282" s="5"/>
      <c r="C282" s="5"/>
      <c r="D282" s="28" t="s">
        <v>507</v>
      </c>
      <c r="E282" s="8">
        <v>78.159595228897416</v>
      </c>
      <c r="F282" s="8">
        <v>0.11998241521974064</v>
      </c>
      <c r="G282" s="8">
        <v>12.077577894406174</v>
      </c>
      <c r="H282" s="8">
        <v>1.1350157365591493</v>
      </c>
      <c r="I282" s="8">
        <v>2.9037784617965409E-2</v>
      </c>
      <c r="J282" s="8">
        <v>8.9621354198812814E-2</v>
      </c>
      <c r="K282" s="8">
        <v>0.68799328917297553</v>
      </c>
      <c r="L282" s="8">
        <v>4.3414108452577347</v>
      </c>
      <c r="M282" s="8">
        <v>3.1762938812016297</v>
      </c>
      <c r="N282" s="8">
        <v>3.7017603169365353E-3</v>
      </c>
      <c r="O282" s="8">
        <v>0.23204123607515709</v>
      </c>
      <c r="P282" s="8">
        <v>100</v>
      </c>
      <c r="Q282" s="8">
        <v>0.3987377807526542</v>
      </c>
    </row>
    <row r="283" spans="2:17" x14ac:dyDescent="0.2">
      <c r="B283" s="5"/>
      <c r="C283" s="5"/>
      <c r="D283" s="28" t="s">
        <v>508</v>
      </c>
      <c r="E283" s="8">
        <v>78.219555321900444</v>
      </c>
      <c r="F283" s="8">
        <v>0.11125360916565123</v>
      </c>
      <c r="G283" s="8">
        <v>12.093752295292592</v>
      </c>
      <c r="H283" s="8">
        <v>1.1884873745884417</v>
      </c>
      <c r="I283" s="8">
        <v>2.1956990942686348E-2</v>
      </c>
      <c r="J283" s="8">
        <v>9.3582216648621874E-2</v>
      </c>
      <c r="K283" s="8">
        <v>0.74410106080106253</v>
      </c>
      <c r="L283" s="8">
        <v>4.1952438098052278</v>
      </c>
      <c r="M283" s="8">
        <v>3.1531726663468325</v>
      </c>
      <c r="N283" s="8">
        <v>7.4697060121493766E-3</v>
      </c>
      <c r="O283" s="8">
        <v>0.22137538339188539</v>
      </c>
      <c r="P283" s="8">
        <v>100</v>
      </c>
      <c r="Q283" s="8">
        <v>1.1339939217367316</v>
      </c>
    </row>
    <row r="284" spans="2:17" x14ac:dyDescent="0.2">
      <c r="B284" s="5"/>
      <c r="C284" s="5"/>
      <c r="D284" s="28" t="s">
        <v>509</v>
      </c>
      <c r="E284" s="8">
        <v>78.222062778642666</v>
      </c>
      <c r="F284" s="8">
        <v>0.1920070498238802</v>
      </c>
      <c r="G284" s="8">
        <v>12.07477631930781</v>
      </c>
      <c r="H284" s="8">
        <v>1.1404230731508298</v>
      </c>
      <c r="I284" s="8">
        <v>0.12428209086587895</v>
      </c>
      <c r="J284" s="8">
        <v>7.8319196554786322E-2</v>
      </c>
      <c r="K284" s="8">
        <v>0.76449577692267223</v>
      </c>
      <c r="L284" s="8">
        <v>4.1463044656028822</v>
      </c>
      <c r="M284" s="8">
        <v>3.0770212025035293</v>
      </c>
      <c r="N284" s="8">
        <v>2.2372008361374186E-2</v>
      </c>
      <c r="O284" s="8">
        <v>0.2040120347205136</v>
      </c>
      <c r="P284" s="8">
        <v>100</v>
      </c>
      <c r="Q284" s="8">
        <v>0.97446933620220477</v>
      </c>
    </row>
    <row r="285" spans="2:17" x14ac:dyDescent="0.2">
      <c r="B285" s="5"/>
      <c r="C285" s="5"/>
      <c r="D285" s="28" t="s">
        <v>510</v>
      </c>
      <c r="E285" s="8">
        <v>78.248956977225731</v>
      </c>
      <c r="F285" s="8">
        <v>0.15717676607698491</v>
      </c>
      <c r="G285" s="8">
        <v>11.91988165979501</v>
      </c>
      <c r="H285" s="8">
        <v>1.0919169690579504</v>
      </c>
      <c r="I285" s="8">
        <v>6.9099109457000651E-2</v>
      </c>
      <c r="J285" s="8">
        <v>0.12101364860098907</v>
      </c>
      <c r="K285" s="8">
        <v>0.73547053985703126</v>
      </c>
      <c r="L285" s="8">
        <v>4.3138790632570219</v>
      </c>
      <c r="M285" s="8">
        <v>3.1465596797909114</v>
      </c>
      <c r="N285" s="8">
        <v>0</v>
      </c>
      <c r="O285" s="8">
        <v>0.25327192376924934</v>
      </c>
      <c r="P285" s="8">
        <v>100</v>
      </c>
      <c r="Q285" s="8">
        <v>1.6152298716601905</v>
      </c>
    </row>
    <row r="286" spans="2:17" x14ac:dyDescent="0.2">
      <c r="B286" s="5"/>
      <c r="C286" s="5"/>
      <c r="D286" s="28" t="s">
        <v>511</v>
      </c>
      <c r="E286" s="8">
        <v>78.265648076556218</v>
      </c>
      <c r="F286" s="8">
        <v>0.16240770038756519</v>
      </c>
      <c r="G286" s="8">
        <v>12.027133930715641</v>
      </c>
      <c r="H286" s="8">
        <v>1.0751088394866433</v>
      </c>
      <c r="I286" s="8">
        <v>0</v>
      </c>
      <c r="J286" s="8">
        <v>0.12342322173773</v>
      </c>
      <c r="K286" s="8">
        <v>0.94793895371473869</v>
      </c>
      <c r="L286" s="8">
        <v>4.2478003203022903</v>
      </c>
      <c r="M286" s="8">
        <v>3.0047635691191945</v>
      </c>
      <c r="N286" s="8">
        <v>0</v>
      </c>
      <c r="O286" s="8">
        <v>0.18820096584671589</v>
      </c>
      <c r="P286" s="8">
        <v>100</v>
      </c>
      <c r="Q286" s="8">
        <v>-0.14241911675544827</v>
      </c>
    </row>
    <row r="287" spans="2:17" x14ac:dyDescent="0.2">
      <c r="B287" s="5"/>
      <c r="C287" s="5"/>
      <c r="D287" s="28" t="s">
        <v>512</v>
      </c>
      <c r="E287" s="8">
        <v>78.31869852775985</v>
      </c>
      <c r="F287" s="8">
        <v>0.14432856455262841</v>
      </c>
      <c r="G287" s="8">
        <v>12.097339903146134</v>
      </c>
      <c r="H287" s="8">
        <v>1.1169673997403897</v>
      </c>
      <c r="I287" s="8">
        <v>2.482430304426549E-2</v>
      </c>
      <c r="J287" s="8">
        <v>0.12676845791198366</v>
      </c>
      <c r="K287" s="8">
        <v>0.71580965184317624</v>
      </c>
      <c r="L287" s="8">
        <v>4.3364818675405861</v>
      </c>
      <c r="M287" s="8">
        <v>2.9777541165110719</v>
      </c>
      <c r="N287" s="8">
        <v>1.491316394998855E-2</v>
      </c>
      <c r="O287" s="8">
        <v>0.16288039104150831</v>
      </c>
      <c r="P287" s="8">
        <v>100</v>
      </c>
      <c r="Q287" s="8">
        <v>0.98010020193375169</v>
      </c>
    </row>
    <row r="288" spans="2:17" x14ac:dyDescent="0.2">
      <c r="B288" s="5"/>
      <c r="C288" s="5"/>
      <c r="D288" s="28" t="s">
        <v>513</v>
      </c>
      <c r="E288" s="8">
        <v>78.377940586570929</v>
      </c>
      <c r="F288" s="8">
        <v>0.10882575135632828</v>
      </c>
      <c r="G288" s="8">
        <v>12.002279951378361</v>
      </c>
      <c r="H288" s="8">
        <v>1.1375026859647501</v>
      </c>
      <c r="I288" s="8">
        <v>2.6830839066528511E-2</v>
      </c>
      <c r="J288" s="8">
        <v>7.882628066949196E-2</v>
      </c>
      <c r="K288" s="8">
        <v>0.69744621788432137</v>
      </c>
      <c r="L288" s="8">
        <v>4.0622372597000043</v>
      </c>
      <c r="M288" s="8">
        <v>3.2512214759688054</v>
      </c>
      <c r="N288" s="8">
        <v>9.124628617179123E-2</v>
      </c>
      <c r="O288" s="8">
        <v>0.21381410949183502</v>
      </c>
      <c r="P288" s="8">
        <v>100</v>
      </c>
      <c r="Q288" s="8">
        <v>2.9549544259969878</v>
      </c>
    </row>
    <row r="289" spans="1:17" x14ac:dyDescent="0.2">
      <c r="B289" s="5"/>
      <c r="C289" s="5"/>
      <c r="D289" s="28" t="s">
        <v>514</v>
      </c>
      <c r="E289" s="8">
        <v>78.399640783865252</v>
      </c>
      <c r="F289" s="8">
        <v>0.11724655504148898</v>
      </c>
      <c r="G289" s="8">
        <v>11.995473683837812</v>
      </c>
      <c r="H289" s="8">
        <v>1.1386258162201452</v>
      </c>
      <c r="I289" s="8">
        <v>2.0298825737031297E-2</v>
      </c>
      <c r="J289" s="8">
        <v>9.9304675817725327E-2</v>
      </c>
      <c r="K289" s="8">
        <v>0.73488489032125281</v>
      </c>
      <c r="L289" s="8">
        <v>4.3059908363454946</v>
      </c>
      <c r="M289" s="8">
        <v>3.0117137994765213</v>
      </c>
      <c r="N289" s="8">
        <v>0</v>
      </c>
      <c r="O289" s="8">
        <v>0.22842121468241533</v>
      </c>
      <c r="P289" s="8">
        <v>100</v>
      </c>
      <c r="Q289" s="8">
        <v>0.29472511270519419</v>
      </c>
    </row>
    <row r="290" spans="1:17" x14ac:dyDescent="0.2">
      <c r="B290" s="5"/>
      <c r="C290" s="5"/>
      <c r="D290" s="28" t="s">
        <v>515</v>
      </c>
      <c r="E290" s="8">
        <v>78.526383168442976</v>
      </c>
      <c r="F290" s="8">
        <v>0.20599928379094468</v>
      </c>
      <c r="G290" s="8">
        <v>11.968838219025212</v>
      </c>
      <c r="H290" s="8">
        <v>1.1317779243954313</v>
      </c>
      <c r="I290" s="8">
        <v>1.4643975542681008E-2</v>
      </c>
      <c r="J290" s="8">
        <v>9.6907946618361648E-2</v>
      </c>
      <c r="K290" s="8">
        <v>0.71468597627752928</v>
      </c>
      <c r="L290" s="8">
        <v>4.0466138476121714</v>
      </c>
      <c r="M290" s="8">
        <v>3.1465419100759084</v>
      </c>
      <c r="N290" s="8">
        <v>0</v>
      </c>
      <c r="O290" s="8">
        <v>0.19068773908095413</v>
      </c>
      <c r="P290" s="8">
        <v>100</v>
      </c>
      <c r="Q290" s="8">
        <v>1.2836373711027989</v>
      </c>
    </row>
    <row r="291" spans="1:17" x14ac:dyDescent="0.2">
      <c r="B291" s="5"/>
      <c r="C291" s="5"/>
      <c r="D291" s="28" t="s">
        <v>516</v>
      </c>
      <c r="E291" s="8">
        <v>78.635257667685735</v>
      </c>
      <c r="F291" s="8">
        <v>0.17502307099765407</v>
      </c>
      <c r="G291" s="8">
        <v>12.10842905382715</v>
      </c>
      <c r="H291" s="8">
        <v>1.0767520131032478</v>
      </c>
      <c r="I291" s="8">
        <v>5.8128672307527019E-3</v>
      </c>
      <c r="J291" s="8">
        <v>0.10064650532430661</v>
      </c>
      <c r="K291" s="8">
        <v>0.67443628762020846</v>
      </c>
      <c r="L291" s="8">
        <v>3.8716308281411087</v>
      </c>
      <c r="M291" s="8">
        <v>3.1804853987649944</v>
      </c>
      <c r="N291" s="8">
        <v>0</v>
      </c>
      <c r="O291" s="8">
        <v>0.22096632568939228</v>
      </c>
      <c r="P291" s="8">
        <v>100</v>
      </c>
      <c r="Q291" s="8">
        <v>0.47940593938344023</v>
      </c>
    </row>
    <row r="292" spans="1:17" x14ac:dyDescent="0.2">
      <c r="B292" s="5"/>
      <c r="C292" s="5"/>
      <c r="D292" s="30" t="s">
        <v>20</v>
      </c>
      <c r="E292" s="16">
        <f t="shared" ref="E292:Q292" si="32">AVERAGE(E262:E291)</f>
        <v>77.285088375426483</v>
      </c>
      <c r="F292" s="16">
        <f t="shared" si="32"/>
        <v>0.22036964183544702</v>
      </c>
      <c r="G292" s="16">
        <f t="shared" si="32"/>
        <v>12.335399559507481</v>
      </c>
      <c r="H292" s="16">
        <f t="shared" si="32"/>
        <v>1.3858840856453685</v>
      </c>
      <c r="I292" s="16">
        <f t="shared" si="32"/>
        <v>4.7095344651998897E-2</v>
      </c>
      <c r="J292" s="16">
        <f t="shared" si="32"/>
        <v>0.19458358637987905</v>
      </c>
      <c r="K292" s="16">
        <f t="shared" si="32"/>
        <v>1.0148202703869695</v>
      </c>
      <c r="L292" s="16">
        <f t="shared" si="32"/>
        <v>4.2618671340774252</v>
      </c>
      <c r="M292" s="16">
        <f t="shared" si="32"/>
        <v>3.0576819879514914</v>
      </c>
      <c r="N292" s="16">
        <f t="shared" si="32"/>
        <v>3.908684995422692E-2</v>
      </c>
      <c r="O292" s="16">
        <f t="shared" si="32"/>
        <v>0.20415958791932534</v>
      </c>
      <c r="P292" s="16">
        <f t="shared" si="32"/>
        <v>100</v>
      </c>
      <c r="Q292" s="16">
        <f t="shared" si="32"/>
        <v>1.0433092051890465</v>
      </c>
    </row>
    <row r="293" spans="1:17" x14ac:dyDescent="0.2">
      <c r="B293" s="5"/>
      <c r="C293" s="5"/>
      <c r="D293" s="30" t="s">
        <v>61</v>
      </c>
      <c r="E293" s="16">
        <f t="shared" ref="E293:Q293" si="33">STDEV(E262:E291)</f>
        <v>2.1839711957981818</v>
      </c>
      <c r="F293" s="16">
        <f t="shared" si="33"/>
        <v>0.15115615172336724</v>
      </c>
      <c r="G293" s="16">
        <f t="shared" si="33"/>
        <v>0.68522941433415974</v>
      </c>
      <c r="H293" s="16">
        <f t="shared" si="33"/>
        <v>0.61213389545941799</v>
      </c>
      <c r="I293" s="16">
        <f t="shared" si="33"/>
        <v>4.4039989477430749E-2</v>
      </c>
      <c r="J293" s="16">
        <f t="shared" si="33"/>
        <v>0.21426299815093997</v>
      </c>
      <c r="K293" s="16">
        <f t="shared" si="33"/>
        <v>0.65118150645348283</v>
      </c>
      <c r="L293" s="16">
        <f t="shared" si="33"/>
        <v>0.18322011331968421</v>
      </c>
      <c r="M293" s="16">
        <f t="shared" si="33"/>
        <v>0.19949164714801432</v>
      </c>
      <c r="N293" s="16">
        <f t="shared" si="33"/>
        <v>6.4426473371351503E-2</v>
      </c>
      <c r="O293" s="16">
        <f t="shared" si="33"/>
        <v>3.5351700452350157E-2</v>
      </c>
      <c r="P293" s="16">
        <f t="shared" si="33"/>
        <v>0</v>
      </c>
      <c r="Q293" s="16">
        <f t="shared" si="33"/>
        <v>0.81057400021476045</v>
      </c>
    </row>
    <row r="294" spans="1:17" x14ac:dyDescent="0.2">
      <c r="B294" s="5"/>
      <c r="C294" s="5"/>
      <c r="D294" s="2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spans="1:17" x14ac:dyDescent="0.2">
      <c r="A295" s="1" t="s">
        <v>71</v>
      </c>
      <c r="B295" s="19">
        <v>256.06</v>
      </c>
      <c r="C295" s="19">
        <v>256.08</v>
      </c>
      <c r="D295" s="28" t="s">
        <v>517</v>
      </c>
      <c r="E295" s="8">
        <v>71.003949373358708</v>
      </c>
      <c r="F295" s="8">
        <v>0.65038742748721012</v>
      </c>
      <c r="G295" s="8">
        <v>14.614658372375727</v>
      </c>
      <c r="H295" s="8">
        <v>3.1771460557360474</v>
      </c>
      <c r="I295" s="8">
        <v>0.14655695133366142</v>
      </c>
      <c r="J295" s="8">
        <v>0.81399009199203376</v>
      </c>
      <c r="K295" s="8">
        <v>2.8583429768508646</v>
      </c>
      <c r="L295" s="8">
        <v>3.954183333095763</v>
      </c>
      <c r="M295" s="8">
        <v>2.4810220788797595</v>
      </c>
      <c r="N295" s="8">
        <v>0.1616307488655655</v>
      </c>
      <c r="O295" s="8">
        <v>0.17902019045091053</v>
      </c>
      <c r="P295" s="8">
        <v>100</v>
      </c>
      <c r="Q295" s="8">
        <v>0.50284297466288308</v>
      </c>
    </row>
    <row r="296" spans="1:17" x14ac:dyDescent="0.2">
      <c r="A296" s="5"/>
      <c r="B296" s="5"/>
      <c r="C296" s="5"/>
      <c r="D296" s="28" t="s">
        <v>518</v>
      </c>
      <c r="E296" s="8">
        <v>76.186887208671862</v>
      </c>
      <c r="F296" s="8">
        <v>0.40142015440107354</v>
      </c>
      <c r="G296" s="8">
        <v>12.465030915927395</v>
      </c>
      <c r="H296" s="8">
        <v>1.8414182396351255</v>
      </c>
      <c r="I296" s="8">
        <v>0.17600290841148786</v>
      </c>
      <c r="J296" s="8">
        <v>0.31045264378665793</v>
      </c>
      <c r="K296" s="8">
        <v>1.2897479666593044</v>
      </c>
      <c r="L296" s="8">
        <v>4.2441266686227959</v>
      </c>
      <c r="M296" s="8">
        <v>2.8763820928898167</v>
      </c>
      <c r="N296" s="8">
        <v>0</v>
      </c>
      <c r="O296" s="8">
        <v>0.26939516507154332</v>
      </c>
      <c r="P296" s="8">
        <v>100</v>
      </c>
      <c r="Q296" s="8">
        <v>1.3504938258922152</v>
      </c>
    </row>
    <row r="297" spans="1:17" x14ac:dyDescent="0.2">
      <c r="D297" s="28" t="s">
        <v>519</v>
      </c>
      <c r="E297" s="8">
        <v>76.591499956171262</v>
      </c>
      <c r="F297" s="8">
        <v>0.29978132847061095</v>
      </c>
      <c r="G297" s="8">
        <v>12.344076777879017</v>
      </c>
      <c r="H297" s="8">
        <v>1.7208292719943987</v>
      </c>
      <c r="I297" s="8">
        <v>0</v>
      </c>
      <c r="J297" s="8">
        <v>0.27053449172971039</v>
      </c>
      <c r="K297" s="8">
        <v>1.2258874263842536</v>
      </c>
      <c r="L297" s="8">
        <v>4.3768402449071324</v>
      </c>
      <c r="M297" s="8">
        <v>2.9368311913179639</v>
      </c>
      <c r="N297" s="8">
        <v>5.5349961516260399E-2</v>
      </c>
      <c r="O297" s="8">
        <v>0.23024410231470405</v>
      </c>
      <c r="P297" s="8">
        <v>100</v>
      </c>
      <c r="Q297" s="8">
        <v>0.14988540910913173</v>
      </c>
    </row>
    <row r="298" spans="1:17" x14ac:dyDescent="0.2">
      <c r="B298" s="5"/>
      <c r="C298" s="5"/>
      <c r="D298" s="28" t="s">
        <v>520</v>
      </c>
      <c r="E298" s="8">
        <v>77.601383850378696</v>
      </c>
      <c r="F298" s="8">
        <v>0.17930454330373319</v>
      </c>
      <c r="G298" s="8">
        <v>12.309406414989384</v>
      </c>
      <c r="H298" s="8">
        <v>1.2082885670188697</v>
      </c>
      <c r="I298" s="8">
        <v>0.10981619692031336</v>
      </c>
      <c r="J298" s="8">
        <v>7.8306967262494823E-2</v>
      </c>
      <c r="K298" s="8">
        <v>0.71146412925450897</v>
      </c>
      <c r="L298" s="8">
        <v>4.5134110134551308</v>
      </c>
      <c r="M298" s="8">
        <v>3.0417141211259784</v>
      </c>
      <c r="N298" s="8">
        <v>7.4609455618975293E-2</v>
      </c>
      <c r="O298" s="8">
        <v>0.22248464441387492</v>
      </c>
      <c r="P298" s="8">
        <v>100</v>
      </c>
      <c r="Q298" s="8">
        <v>1.0956461378702187</v>
      </c>
    </row>
    <row r="299" spans="1:17" x14ac:dyDescent="0.2">
      <c r="B299" s="5"/>
      <c r="C299" s="5"/>
      <c r="D299" s="28" t="s">
        <v>521</v>
      </c>
      <c r="E299" s="8">
        <v>77.719898400956595</v>
      </c>
      <c r="F299" s="8">
        <v>0.13908587546202819</v>
      </c>
      <c r="G299" s="8">
        <v>12.350786722839304</v>
      </c>
      <c r="H299" s="8">
        <v>1.2551637341082955</v>
      </c>
      <c r="I299" s="8">
        <v>0.13206290293769651</v>
      </c>
      <c r="J299" s="8">
        <v>9.3892722881232016E-2</v>
      </c>
      <c r="K299" s="8">
        <v>0.74597592450713168</v>
      </c>
      <c r="L299" s="8">
        <v>4.3451601368786692</v>
      </c>
      <c r="M299" s="8">
        <v>3.0798791108851651</v>
      </c>
      <c r="N299" s="8">
        <v>0</v>
      </c>
      <c r="O299" s="8">
        <v>0.17836910745725079</v>
      </c>
      <c r="P299" s="8">
        <v>100</v>
      </c>
      <c r="Q299" s="8">
        <v>1.3523123435648188</v>
      </c>
    </row>
    <row r="300" spans="1:17" x14ac:dyDescent="0.2">
      <c r="B300" s="5"/>
      <c r="C300" s="5"/>
      <c r="D300" s="28" t="s">
        <v>522</v>
      </c>
      <c r="E300" s="8">
        <v>77.799911568648014</v>
      </c>
      <c r="F300" s="8">
        <v>0.11665484029046953</v>
      </c>
      <c r="G300" s="8">
        <v>12.289411664683232</v>
      </c>
      <c r="H300" s="8">
        <v>1.1113680682701643</v>
      </c>
      <c r="I300" s="8">
        <v>0.1080532616711926</v>
      </c>
      <c r="J300" s="8">
        <v>8.9307281600927199E-2</v>
      </c>
      <c r="K300" s="8">
        <v>0.71343530560654134</v>
      </c>
      <c r="L300" s="8">
        <v>4.2612682591569717</v>
      </c>
      <c r="M300" s="8">
        <v>3.201487453784758</v>
      </c>
      <c r="N300" s="8">
        <v>8.1429327849621189E-2</v>
      </c>
      <c r="O300" s="8">
        <v>0.2940763151759016</v>
      </c>
      <c r="P300" s="8">
        <v>100</v>
      </c>
      <c r="Q300" s="8">
        <v>4.7849195769080808</v>
      </c>
    </row>
    <row r="301" spans="1:17" x14ac:dyDescent="0.2">
      <c r="B301" s="5"/>
      <c r="C301" s="5"/>
      <c r="D301" s="28" t="s">
        <v>523</v>
      </c>
      <c r="E301" s="8">
        <v>77.832693532985758</v>
      </c>
      <c r="F301" s="8">
        <v>0.16553040052346885</v>
      </c>
      <c r="G301" s="8">
        <v>12.150262407350111</v>
      </c>
      <c r="H301" s="8">
        <v>1.2196138537424908</v>
      </c>
      <c r="I301" s="8">
        <v>1.0159191157440343E-2</v>
      </c>
      <c r="J301" s="8">
        <v>9.7671892345622832E-2</v>
      </c>
      <c r="K301" s="8">
        <v>0.663728479385714</v>
      </c>
      <c r="L301" s="8">
        <v>4.4988356637422289</v>
      </c>
      <c r="M301" s="8">
        <v>3.1160771136967522</v>
      </c>
      <c r="N301" s="8">
        <v>0.12950489286024905</v>
      </c>
      <c r="O301" s="8">
        <v>0.14933840696487422</v>
      </c>
      <c r="P301" s="8">
        <v>100</v>
      </c>
      <c r="Q301" s="8">
        <v>0.17906108034024726</v>
      </c>
    </row>
    <row r="302" spans="1:17" x14ac:dyDescent="0.2">
      <c r="B302" s="5"/>
      <c r="C302" s="5"/>
      <c r="D302" s="28" t="s">
        <v>524</v>
      </c>
      <c r="E302" s="8">
        <v>77.847909580376367</v>
      </c>
      <c r="F302" s="8">
        <v>0.2018737582373881</v>
      </c>
      <c r="G302" s="8">
        <v>12.179131450703453</v>
      </c>
      <c r="H302" s="8">
        <v>1.3695510242203361</v>
      </c>
      <c r="I302" s="8">
        <v>8.7783056289771171E-3</v>
      </c>
      <c r="J302" s="8">
        <v>0.12209430266146057</v>
      </c>
      <c r="K302" s="8">
        <v>0.88093645287689748</v>
      </c>
      <c r="L302" s="8">
        <v>4.2000116900975488</v>
      </c>
      <c r="M302" s="8">
        <v>3.0759035259049861</v>
      </c>
      <c r="N302" s="8">
        <v>0</v>
      </c>
      <c r="O302" s="8">
        <v>0.14701919600011759</v>
      </c>
      <c r="P302" s="8">
        <v>100</v>
      </c>
      <c r="Q302" s="8">
        <v>0.99456128172298008</v>
      </c>
    </row>
    <row r="303" spans="1:17" x14ac:dyDescent="0.2">
      <c r="B303" s="5"/>
      <c r="C303" s="5"/>
      <c r="D303" s="28" t="s">
        <v>525</v>
      </c>
      <c r="E303" s="8">
        <v>77.870486345628336</v>
      </c>
      <c r="F303" s="8">
        <v>0.18601125850589445</v>
      </c>
      <c r="G303" s="8">
        <v>12.249805315112837</v>
      </c>
      <c r="H303" s="8">
        <v>1.2083289237715644</v>
      </c>
      <c r="I303" s="8">
        <v>0.13249901160281963</v>
      </c>
      <c r="J303" s="8">
        <v>9.218918392104837E-2</v>
      </c>
      <c r="K303" s="8">
        <v>0.71566872920668445</v>
      </c>
      <c r="L303" s="8">
        <v>4.1125967990507544</v>
      </c>
      <c r="M303" s="8">
        <v>3.2486267935495512</v>
      </c>
      <c r="N303" s="8">
        <v>0</v>
      </c>
      <c r="O303" s="8">
        <v>0.23737004188099692</v>
      </c>
      <c r="P303" s="8">
        <v>100</v>
      </c>
      <c r="Q303" s="8">
        <v>1.6468134942473824</v>
      </c>
    </row>
    <row r="304" spans="1:17" x14ac:dyDescent="0.2">
      <c r="B304" s="5"/>
      <c r="C304" s="5"/>
      <c r="D304" s="28" t="s">
        <v>526</v>
      </c>
      <c r="E304" s="8">
        <v>77.888410920462462</v>
      </c>
      <c r="F304" s="8">
        <v>0.12026409578358024</v>
      </c>
      <c r="G304" s="8">
        <v>12.330553980093793</v>
      </c>
      <c r="H304" s="8">
        <v>1.2622500831053707</v>
      </c>
      <c r="I304" s="8">
        <v>0</v>
      </c>
      <c r="J304" s="8">
        <v>9.6932220722695042E-2</v>
      </c>
      <c r="K304" s="8">
        <v>0.67401280390236429</v>
      </c>
      <c r="L304" s="8">
        <v>4.3351400139730556</v>
      </c>
      <c r="M304" s="8">
        <v>3.1162241326750251</v>
      </c>
      <c r="N304" s="8">
        <v>1.4968153353137051E-2</v>
      </c>
      <c r="O304" s="8">
        <v>0.20822859890154205</v>
      </c>
      <c r="P304" s="8">
        <v>100</v>
      </c>
      <c r="Q304" s="8">
        <v>1.3238329970445051</v>
      </c>
    </row>
    <row r="305" spans="2:17" x14ac:dyDescent="0.2">
      <c r="B305" s="5"/>
      <c r="C305" s="5"/>
      <c r="D305" s="28" t="s">
        <v>527</v>
      </c>
      <c r="E305" s="8">
        <v>77.900435175549106</v>
      </c>
      <c r="F305" s="8">
        <v>0.13253501334649062</v>
      </c>
      <c r="G305" s="8">
        <v>12.165251432599765</v>
      </c>
      <c r="H305" s="8">
        <v>1.226636533329784</v>
      </c>
      <c r="I305" s="8">
        <v>2.6193361452504057E-2</v>
      </c>
      <c r="J305" s="8">
        <v>0.11555599283067844</v>
      </c>
      <c r="K305" s="8">
        <v>0.68765485166385776</v>
      </c>
      <c r="L305" s="8">
        <v>4.3400630797450166</v>
      </c>
      <c r="M305" s="8">
        <v>3.2243302619661103</v>
      </c>
      <c r="N305" s="8">
        <v>3.708038857100927E-3</v>
      </c>
      <c r="O305" s="8">
        <v>0.22897114827190088</v>
      </c>
      <c r="P305" s="8">
        <v>100</v>
      </c>
      <c r="Q305" s="8">
        <v>0.45951128770663274</v>
      </c>
    </row>
    <row r="306" spans="2:17" x14ac:dyDescent="0.2">
      <c r="B306" s="5"/>
      <c r="C306" s="5"/>
      <c r="D306" s="28" t="s">
        <v>528</v>
      </c>
      <c r="E306" s="8">
        <v>77.997622631163239</v>
      </c>
      <c r="F306" s="8">
        <v>0.21447065947016725</v>
      </c>
      <c r="G306" s="8">
        <v>12.155808757610609</v>
      </c>
      <c r="H306" s="8">
        <v>1.2185674273453453</v>
      </c>
      <c r="I306" s="8">
        <v>0.10113333682685406</v>
      </c>
      <c r="J306" s="8">
        <v>0.18335115323504469</v>
      </c>
      <c r="K306" s="8">
        <v>1.0303227418717023</v>
      </c>
      <c r="L306" s="8">
        <v>3.8451002912128009</v>
      </c>
      <c r="M306" s="8">
        <v>3.1439267417854286</v>
      </c>
      <c r="N306" s="8">
        <v>0</v>
      </c>
      <c r="O306" s="8">
        <v>0.14155935599620592</v>
      </c>
      <c r="P306" s="8">
        <v>100</v>
      </c>
      <c r="Q306" s="8">
        <v>1.1552440209248829</v>
      </c>
    </row>
    <row r="307" spans="2:17" x14ac:dyDescent="0.2">
      <c r="B307" s="5"/>
      <c r="C307" s="5"/>
      <c r="D307" s="28" t="s">
        <v>529</v>
      </c>
      <c r="E307" s="8">
        <v>78.028635351699577</v>
      </c>
      <c r="F307" s="8">
        <v>0.1289733988773589</v>
      </c>
      <c r="G307" s="8">
        <v>12.131266841733526</v>
      </c>
      <c r="H307" s="8">
        <v>1.164227665529896</v>
      </c>
      <c r="I307" s="8">
        <v>7.5976239263940495E-2</v>
      </c>
      <c r="J307" s="8">
        <v>9.2465767924667028E-2</v>
      </c>
      <c r="K307" s="8">
        <v>0.70846096469677067</v>
      </c>
      <c r="L307" s="8">
        <v>4.3889709438411986</v>
      </c>
      <c r="M307" s="8">
        <v>3.0903598788427109</v>
      </c>
      <c r="N307" s="8">
        <v>3.7251655906935972E-2</v>
      </c>
      <c r="O307" s="8">
        <v>0.19815662981921728</v>
      </c>
      <c r="P307" s="8">
        <v>100</v>
      </c>
      <c r="Q307" s="8">
        <v>0.80977851746935414</v>
      </c>
    </row>
    <row r="308" spans="2:17" x14ac:dyDescent="0.2">
      <c r="B308" s="5"/>
      <c r="C308" s="5"/>
      <c r="D308" s="28" t="s">
        <v>530</v>
      </c>
      <c r="E308" s="8">
        <v>78.04878406934867</v>
      </c>
      <c r="F308" s="8">
        <v>9.7830645645713074E-2</v>
      </c>
      <c r="G308" s="8">
        <v>12.009302820695442</v>
      </c>
      <c r="H308" s="8">
        <v>1.2051707717109599</v>
      </c>
      <c r="I308" s="8">
        <v>0</v>
      </c>
      <c r="J308" s="8">
        <v>9.0602860640686192E-2</v>
      </c>
      <c r="K308" s="8">
        <v>0.74421435619827458</v>
      </c>
      <c r="L308" s="8">
        <v>4.5352539935913168</v>
      </c>
      <c r="M308" s="8">
        <v>3.1087285443529713</v>
      </c>
      <c r="N308" s="8">
        <v>4.0850466948650604E-2</v>
      </c>
      <c r="O308" s="8">
        <v>0.15330369434033536</v>
      </c>
      <c r="P308" s="8">
        <v>100</v>
      </c>
      <c r="Q308" s="8">
        <v>0.60578731930206686</v>
      </c>
    </row>
    <row r="309" spans="2:17" x14ac:dyDescent="0.2">
      <c r="B309" s="5"/>
      <c r="C309" s="5"/>
      <c r="D309" s="28" t="s">
        <v>531</v>
      </c>
      <c r="E309" s="8">
        <v>78.061329759023536</v>
      </c>
      <c r="F309" s="8">
        <v>0.15665397130479877</v>
      </c>
      <c r="G309" s="8">
        <v>12.114824838566632</v>
      </c>
      <c r="H309" s="8">
        <v>1.1839333766808113</v>
      </c>
      <c r="I309" s="8">
        <v>5.3193751298099848E-2</v>
      </c>
      <c r="J309" s="8">
        <v>9.0513290601794444E-2</v>
      </c>
      <c r="K309" s="8">
        <v>0.70221237182085139</v>
      </c>
      <c r="L309" s="8">
        <v>4.2772074693410111</v>
      </c>
      <c r="M309" s="8">
        <v>3.2077279284155962</v>
      </c>
      <c r="N309" s="8">
        <v>0</v>
      </c>
      <c r="O309" s="8">
        <v>0.19688549914057774</v>
      </c>
      <c r="P309" s="8">
        <v>100</v>
      </c>
      <c r="Q309" s="8">
        <v>1.9226906791519696</v>
      </c>
    </row>
    <row r="310" spans="2:17" x14ac:dyDescent="0.2">
      <c r="B310" s="5"/>
      <c r="C310" s="5"/>
      <c r="D310" s="28" t="s">
        <v>532</v>
      </c>
      <c r="E310" s="8">
        <v>78.062427460501027</v>
      </c>
      <c r="F310" s="8">
        <v>0.12669183837406683</v>
      </c>
      <c r="G310" s="8">
        <v>12.152372943820666</v>
      </c>
      <c r="H310" s="8">
        <v>1.2011189612176676</v>
      </c>
      <c r="I310" s="8">
        <v>4.5661180974178726E-2</v>
      </c>
      <c r="J310" s="8">
        <v>0.11451681084235496</v>
      </c>
      <c r="K310" s="8">
        <v>0.71023433209222087</v>
      </c>
      <c r="L310" s="8">
        <v>4.2219873208954315</v>
      </c>
      <c r="M310" s="8">
        <v>3.1306765336047016</v>
      </c>
      <c r="N310" s="8">
        <v>6.0068144432064652E-2</v>
      </c>
      <c r="O310" s="8">
        <v>0.22499255736664614</v>
      </c>
      <c r="P310" s="8">
        <v>100</v>
      </c>
      <c r="Q310" s="8">
        <v>1.6100787550686988</v>
      </c>
    </row>
    <row r="311" spans="2:17" x14ac:dyDescent="0.2">
      <c r="B311" s="5"/>
      <c r="C311" s="5"/>
      <c r="D311" s="28" t="s">
        <v>533</v>
      </c>
      <c r="E311" s="8">
        <v>78.085245483444936</v>
      </c>
      <c r="F311" s="8">
        <v>0.12255013283328806</v>
      </c>
      <c r="G311" s="8">
        <v>12.204741119165245</v>
      </c>
      <c r="H311" s="8">
        <v>1.2640916086997207</v>
      </c>
      <c r="I311" s="8">
        <v>0.14479985712954468</v>
      </c>
      <c r="J311" s="8">
        <v>9.1627437338708331E-2</v>
      </c>
      <c r="K311" s="8">
        <v>0.68448538230061495</v>
      </c>
      <c r="L311" s="8">
        <v>4.1391835797918635</v>
      </c>
      <c r="M311" s="8">
        <v>3.0876669115864659</v>
      </c>
      <c r="N311" s="8">
        <v>0</v>
      </c>
      <c r="O311" s="8">
        <v>0.22687006782652555</v>
      </c>
      <c r="P311" s="8">
        <v>100</v>
      </c>
      <c r="Q311" s="8">
        <v>0.93360391118015684</v>
      </c>
    </row>
    <row r="312" spans="2:17" x14ac:dyDescent="0.2">
      <c r="B312" s="5"/>
      <c r="C312" s="5"/>
      <c r="D312" s="28" t="s">
        <v>534</v>
      </c>
      <c r="E312" s="8">
        <v>78.110033515225012</v>
      </c>
      <c r="F312" s="8">
        <v>7.7528137743503214E-2</v>
      </c>
      <c r="G312" s="8">
        <v>12.062078240239165</v>
      </c>
      <c r="H312" s="8">
        <v>1.2255495617893326</v>
      </c>
      <c r="I312" s="8">
        <v>7.015349031947779E-2</v>
      </c>
      <c r="J312" s="8">
        <v>0.11144203146581028</v>
      </c>
      <c r="K312" s="8">
        <v>0.6833227830684051</v>
      </c>
      <c r="L312" s="8">
        <v>4.3936008293124145</v>
      </c>
      <c r="M312" s="8">
        <v>3.1065363074590886</v>
      </c>
      <c r="N312" s="8">
        <v>0</v>
      </c>
      <c r="O312" s="8">
        <v>0.20621164891676272</v>
      </c>
      <c r="P312" s="8">
        <v>100</v>
      </c>
      <c r="Q312" s="8">
        <v>0.89017711967555613</v>
      </c>
    </row>
    <row r="313" spans="2:17" x14ac:dyDescent="0.2">
      <c r="B313" s="5"/>
      <c r="C313" s="5"/>
      <c r="D313" s="28" t="s">
        <v>535</v>
      </c>
      <c r="E313" s="8">
        <v>78.12677214794914</v>
      </c>
      <c r="F313" s="8">
        <v>0.10973858909960102</v>
      </c>
      <c r="G313" s="8">
        <v>12.193796360156528</v>
      </c>
      <c r="H313" s="8">
        <v>1.2404005057407825</v>
      </c>
      <c r="I313" s="8">
        <v>5.3822013477141675E-2</v>
      </c>
      <c r="J313" s="8">
        <v>0.10523919649501401</v>
      </c>
      <c r="K313" s="8">
        <v>0.68835887148216646</v>
      </c>
      <c r="L313" s="8">
        <v>4.1626661350604905</v>
      </c>
      <c r="M313" s="8">
        <v>3.1430119341884848</v>
      </c>
      <c r="N313" s="8">
        <v>1.8532758157300176E-2</v>
      </c>
      <c r="O313" s="8">
        <v>0.20402802519447644</v>
      </c>
      <c r="P313" s="8">
        <v>100</v>
      </c>
      <c r="Q313" s="8">
        <v>0.40877972213937142</v>
      </c>
    </row>
    <row r="314" spans="2:17" x14ac:dyDescent="0.2">
      <c r="B314" s="5"/>
      <c r="C314" s="5"/>
      <c r="D314" s="28" t="s">
        <v>536</v>
      </c>
      <c r="E314" s="8">
        <v>78.133998870508236</v>
      </c>
      <c r="F314" s="8">
        <v>0.13895100042528796</v>
      </c>
      <c r="G314" s="8">
        <v>12.080656157544368</v>
      </c>
      <c r="H314" s="8">
        <v>1.2038731367903512</v>
      </c>
      <c r="I314" s="8">
        <v>0.16736977424591087</v>
      </c>
      <c r="J314" s="8">
        <v>0.11142405266618956</v>
      </c>
      <c r="K314" s="8">
        <v>0.71483847502799702</v>
      </c>
      <c r="L314" s="8">
        <v>4.2007871159472678</v>
      </c>
      <c r="M314" s="8">
        <v>2.9891190149756315</v>
      </c>
      <c r="N314" s="8">
        <v>6.4179771604187294E-2</v>
      </c>
      <c r="O314" s="8">
        <v>0.25167699641294627</v>
      </c>
      <c r="P314" s="8">
        <v>100</v>
      </c>
      <c r="Q314" s="8">
        <v>2.2230861352803686</v>
      </c>
    </row>
    <row r="315" spans="2:17" x14ac:dyDescent="0.2">
      <c r="B315" s="5"/>
      <c r="C315" s="5"/>
      <c r="D315" s="28" t="s">
        <v>537</v>
      </c>
      <c r="E315" s="8">
        <v>78.147355928533798</v>
      </c>
      <c r="F315" s="8">
        <v>0.18417388662249626</v>
      </c>
      <c r="G315" s="8">
        <v>12.085332177506544</v>
      </c>
      <c r="H315" s="8">
        <v>1.236633143805685</v>
      </c>
      <c r="I315" s="8">
        <v>1.6205918900739819E-2</v>
      </c>
      <c r="J315" s="8">
        <v>0.11161896561737669</v>
      </c>
      <c r="K315" s="8">
        <v>0.7326407615099253</v>
      </c>
      <c r="L315" s="8">
        <v>4.0360009623566357</v>
      </c>
      <c r="M315" s="8">
        <v>3.2892360799932754</v>
      </c>
      <c r="N315" s="8">
        <v>0</v>
      </c>
      <c r="O315" s="8">
        <v>0.20771340333893953</v>
      </c>
      <c r="P315" s="8">
        <v>100</v>
      </c>
      <c r="Q315" s="8">
        <v>1.6717281037822005</v>
      </c>
    </row>
    <row r="316" spans="2:17" x14ac:dyDescent="0.2">
      <c r="B316" s="5"/>
      <c r="C316" s="5"/>
      <c r="D316" s="28" t="s">
        <v>538</v>
      </c>
      <c r="E316" s="8">
        <v>78.158296681588496</v>
      </c>
      <c r="F316" s="8">
        <v>0.22441562308781471</v>
      </c>
      <c r="G316" s="8">
        <v>12.028855157006276</v>
      </c>
      <c r="H316" s="8">
        <v>1.14808395342083</v>
      </c>
      <c r="I316" s="8">
        <v>1.4753605539943732E-2</v>
      </c>
      <c r="J316" s="8">
        <v>9.8606402035092716E-2</v>
      </c>
      <c r="K316" s="8">
        <v>0.74325804576979038</v>
      </c>
      <c r="L316" s="8">
        <v>4.1980954526080252</v>
      </c>
      <c r="M316" s="8">
        <v>3.1595776782956624</v>
      </c>
      <c r="N316" s="8">
        <v>8.2713832397239562E-2</v>
      </c>
      <c r="O316" s="8">
        <v>0.18509133539994121</v>
      </c>
      <c r="P316" s="8">
        <v>100</v>
      </c>
      <c r="Q316" s="8">
        <v>1.7528294303625387</v>
      </c>
    </row>
    <row r="317" spans="2:17" x14ac:dyDescent="0.2">
      <c r="B317" s="5"/>
      <c r="C317" s="5"/>
      <c r="D317" s="28" t="s">
        <v>539</v>
      </c>
      <c r="E317" s="8">
        <v>78.187978589940954</v>
      </c>
      <c r="F317" s="8">
        <v>9.6062112042423889E-2</v>
      </c>
      <c r="G317" s="8">
        <v>11.931711744541738</v>
      </c>
      <c r="H317" s="8">
        <v>1.2160853553027069</v>
      </c>
      <c r="I317" s="8">
        <v>2.0499193243027108E-2</v>
      </c>
      <c r="J317" s="8">
        <v>7.1091764093132823E-2</v>
      </c>
      <c r="K317" s="8">
        <v>0.68675582005369429</v>
      </c>
      <c r="L317" s="8">
        <v>4.2469905756470219</v>
      </c>
      <c r="M317" s="8">
        <v>3.2773116294149904</v>
      </c>
      <c r="N317" s="8">
        <v>9.3265619033329777E-2</v>
      </c>
      <c r="O317" s="8">
        <v>0.22246925574297965</v>
      </c>
      <c r="P317" s="8">
        <v>100</v>
      </c>
      <c r="Q317" s="8">
        <v>1.0546426899051227</v>
      </c>
    </row>
    <row r="318" spans="2:17" x14ac:dyDescent="0.2">
      <c r="B318" s="5"/>
      <c r="C318" s="5"/>
      <c r="D318" s="28" t="s">
        <v>540</v>
      </c>
      <c r="E318" s="8">
        <v>78.210173915542043</v>
      </c>
      <c r="F318" s="8">
        <v>0.16648153727070955</v>
      </c>
      <c r="G318" s="8">
        <v>12.10183320472874</v>
      </c>
      <c r="H318" s="8">
        <v>1.2477686765786882</v>
      </c>
      <c r="I318" s="8">
        <v>5.0167829945313394E-2</v>
      </c>
      <c r="J318" s="8">
        <v>0.10718441305894381</v>
      </c>
      <c r="K318" s="8">
        <v>0.70707468853061328</v>
      </c>
      <c r="L318" s="8">
        <v>4.3418895011751726</v>
      </c>
      <c r="M318" s="8">
        <v>2.9064846079279989</v>
      </c>
      <c r="N318" s="8">
        <v>1.1293720275178359E-2</v>
      </c>
      <c r="O318" s="8">
        <v>0.19330208581742642</v>
      </c>
      <c r="P318" s="8">
        <v>100</v>
      </c>
      <c r="Q318" s="8">
        <v>1.8215456923481241</v>
      </c>
    </row>
    <row r="319" spans="2:17" x14ac:dyDescent="0.2">
      <c r="B319" s="5"/>
      <c r="C319" s="5"/>
      <c r="D319" s="28" t="s">
        <v>541</v>
      </c>
      <c r="E319" s="8">
        <v>78.218222094554136</v>
      </c>
      <c r="F319" s="8">
        <v>0.17457195324162839</v>
      </c>
      <c r="G319" s="8">
        <v>12.01270489111276</v>
      </c>
      <c r="H319" s="8">
        <v>1.1261733758409185</v>
      </c>
      <c r="I319" s="8">
        <v>3.9342678887840127E-2</v>
      </c>
      <c r="J319" s="8">
        <v>0.13532277026876169</v>
      </c>
      <c r="K319" s="8">
        <v>0.68260261656420151</v>
      </c>
      <c r="L319" s="8">
        <v>4.2847569300439838</v>
      </c>
      <c r="M319" s="8">
        <v>3.1763040765634449</v>
      </c>
      <c r="N319" s="8">
        <v>1.1143104532959063E-2</v>
      </c>
      <c r="O319" s="8">
        <v>0.17941363417186398</v>
      </c>
      <c r="P319" s="8">
        <v>100</v>
      </c>
      <c r="Q319" s="8">
        <v>0.53041351971744177</v>
      </c>
    </row>
    <row r="320" spans="2:17" x14ac:dyDescent="0.2">
      <c r="B320" s="5"/>
      <c r="C320" s="5"/>
      <c r="D320" s="28" t="s">
        <v>542</v>
      </c>
      <c r="E320" s="8">
        <v>78.290830228961056</v>
      </c>
      <c r="F320" s="8">
        <v>0.14637900818493033</v>
      </c>
      <c r="G320" s="8">
        <v>12.118084346274022</v>
      </c>
      <c r="H320" s="8">
        <v>1.1761587257721433</v>
      </c>
      <c r="I320" s="8">
        <v>7.2750563938094009E-2</v>
      </c>
      <c r="J320" s="8">
        <v>9.1346760775684932E-2</v>
      </c>
      <c r="K320" s="8">
        <v>0.72838452412939503</v>
      </c>
      <c r="L320" s="8">
        <v>4.0318511392457106</v>
      </c>
      <c r="M320" s="8">
        <v>3.1380022252989366</v>
      </c>
      <c r="N320" s="8">
        <v>6.6735978939525667E-2</v>
      </c>
      <c r="O320" s="8">
        <v>0.18027683960304733</v>
      </c>
      <c r="P320" s="8">
        <v>100</v>
      </c>
      <c r="Q320" s="8">
        <v>0.44200885970815307</v>
      </c>
    </row>
    <row r="321" spans="1:17" x14ac:dyDescent="0.2">
      <c r="B321" s="5"/>
      <c r="C321" s="5"/>
      <c r="D321" s="28" t="s">
        <v>543</v>
      </c>
      <c r="E321" s="8">
        <v>78.327655631001647</v>
      </c>
      <c r="F321" s="8">
        <v>0.21532479312030475</v>
      </c>
      <c r="G321" s="8">
        <v>12.065485495309087</v>
      </c>
      <c r="H321" s="8">
        <v>1.2820358078979115</v>
      </c>
      <c r="I321" s="8">
        <v>5.8212046426994388E-2</v>
      </c>
      <c r="J321" s="8">
        <v>9.315473428135683E-2</v>
      </c>
      <c r="K321" s="8">
        <v>0.66262067471931341</v>
      </c>
      <c r="L321" s="8">
        <v>3.9984193256232889</v>
      </c>
      <c r="M321" s="8">
        <v>3.1593181719656758</v>
      </c>
      <c r="N321" s="8">
        <v>0</v>
      </c>
      <c r="O321" s="8">
        <v>0.17796931488553167</v>
      </c>
      <c r="P321" s="8">
        <v>100</v>
      </c>
      <c r="Q321" s="8">
        <v>2.9754089287457077</v>
      </c>
    </row>
    <row r="322" spans="1:17" x14ac:dyDescent="0.2">
      <c r="B322" s="5"/>
      <c r="C322" s="5"/>
      <c r="D322" s="28" t="s">
        <v>544</v>
      </c>
      <c r="E322" s="8">
        <v>78.407159938561477</v>
      </c>
      <c r="F322" s="8">
        <v>0.16047102266351976</v>
      </c>
      <c r="G322" s="8">
        <v>12.016938292078478</v>
      </c>
      <c r="H322" s="8">
        <v>1.1619855720182408</v>
      </c>
      <c r="I322" s="8">
        <v>1.1798052826182981E-2</v>
      </c>
      <c r="J322" s="8">
        <v>9.0561987828549212E-2</v>
      </c>
      <c r="K322" s="8">
        <v>0.67068363321667313</v>
      </c>
      <c r="L322" s="8">
        <v>4.1832254035264098</v>
      </c>
      <c r="M322" s="8">
        <v>3.1530511735123277</v>
      </c>
      <c r="N322" s="8">
        <v>0</v>
      </c>
      <c r="O322" s="8">
        <v>0.18615542335593815</v>
      </c>
      <c r="P322" s="8">
        <v>100</v>
      </c>
      <c r="Q322" s="8">
        <v>1.7380226144429116</v>
      </c>
    </row>
    <row r="323" spans="1:17" x14ac:dyDescent="0.2">
      <c r="B323" s="5"/>
      <c r="C323" s="5"/>
      <c r="D323" s="30" t="s">
        <v>20</v>
      </c>
      <c r="E323" s="16">
        <f t="shared" ref="E323:Q323" si="34">AVERAGE(E295:E322)</f>
        <v>77.673071007526232</v>
      </c>
      <c r="F323" s="16">
        <f t="shared" si="34"/>
        <v>0.18336132163641286</v>
      </c>
      <c r="G323" s="16">
        <f t="shared" si="34"/>
        <v>12.246934601522995</v>
      </c>
      <c r="H323" s="16">
        <f t="shared" si="34"/>
        <v>1.3250875707526586</v>
      </c>
      <c r="I323" s="16">
        <f t="shared" si="34"/>
        <v>6.5927200869977748E-2</v>
      </c>
      <c r="J323" s="16">
        <f t="shared" si="34"/>
        <v>0.14182136396084749</v>
      </c>
      <c r="K323" s="16">
        <f>AVERAGE(K295:K322)</f>
        <v>0.83740450319109738</v>
      </c>
      <c r="L323" s="16">
        <f t="shared" si="34"/>
        <v>4.23812942399804</v>
      </c>
      <c r="M323" s="16">
        <f t="shared" si="34"/>
        <v>3.0951970469592589</v>
      </c>
      <c r="N323" s="16">
        <f t="shared" si="34"/>
        <v>3.5972701112438596E-2</v>
      </c>
      <c r="O323" s="16">
        <f t="shared" si="34"/>
        <v>0.2028783101511778</v>
      </c>
      <c r="P323" s="16">
        <f t="shared" si="34"/>
        <v>100</v>
      </c>
      <c r="Q323" s="16">
        <f t="shared" si="34"/>
        <v>1.2994895152954899</v>
      </c>
    </row>
    <row r="324" spans="1:17" x14ac:dyDescent="0.2">
      <c r="B324" s="5"/>
      <c r="C324" s="5"/>
      <c r="D324" s="30" t="s">
        <v>61</v>
      </c>
      <c r="E324" s="16">
        <f t="shared" ref="E324:Q324" si="35">STDEV(E295:E322)</f>
        <v>1.3902677370345655</v>
      </c>
      <c r="F324" s="16">
        <f t="shared" si="35"/>
        <v>0.11269682260159625</v>
      </c>
      <c r="G324" s="16">
        <f t="shared" si="35"/>
        <v>0.48033857887381726</v>
      </c>
      <c r="H324" s="16">
        <f t="shared" si="35"/>
        <v>0.39569522550049974</v>
      </c>
      <c r="I324" s="16">
        <f t="shared" si="35"/>
        <v>5.5060041500495836E-2</v>
      </c>
      <c r="J324" s="16">
        <f t="shared" si="35"/>
        <v>0.14218462176703087</v>
      </c>
      <c r="K324" s="16">
        <f t="shared" si="35"/>
        <v>0.42645690334057779</v>
      </c>
      <c r="L324" s="16">
        <f t="shared" si="35"/>
        <v>0.16771931107051621</v>
      </c>
      <c r="M324" s="16">
        <f t="shared" si="35"/>
        <v>0.15666670245996839</v>
      </c>
      <c r="N324" s="16">
        <f t="shared" si="35"/>
        <v>4.452812091054513E-2</v>
      </c>
      <c r="O324" s="16">
        <f t="shared" si="35"/>
        <v>3.6230601602362203E-2</v>
      </c>
      <c r="P324" s="16">
        <f t="shared" si="35"/>
        <v>0</v>
      </c>
      <c r="Q324" s="16">
        <f t="shared" si="35"/>
        <v>0.9526836869140699</v>
      </c>
    </row>
    <row r="325" spans="1:17" x14ac:dyDescent="0.2">
      <c r="B325" s="5"/>
      <c r="C325" s="5"/>
      <c r="D325" s="23"/>
    </row>
    <row r="326" spans="1:17" x14ac:dyDescent="0.2">
      <c r="A326" s="1" t="s">
        <v>71</v>
      </c>
      <c r="B326" s="5"/>
      <c r="C326" s="5"/>
      <c r="D326" s="28" t="s">
        <v>35</v>
      </c>
      <c r="E326" s="8">
        <v>74.936800000000005</v>
      </c>
      <c r="F326" s="8">
        <v>4.8126000000000002E-2</v>
      </c>
      <c r="G326" s="8">
        <v>13.101100000000001</v>
      </c>
      <c r="H326" s="8">
        <v>1.6539900000000001</v>
      </c>
      <c r="I326" s="8">
        <v>7.8106999999999996E-2</v>
      </c>
      <c r="J326" s="8">
        <v>4.0273999999999997E-2</v>
      </c>
      <c r="K326" s="8">
        <v>0.70285799999999998</v>
      </c>
      <c r="L326" s="8">
        <v>4.0055500000000004</v>
      </c>
      <c r="M326" s="8">
        <v>5.3383599999999998</v>
      </c>
      <c r="N326" s="8">
        <v>2.5628999999999999E-2</v>
      </c>
      <c r="O326" s="8">
        <v>0.347609</v>
      </c>
      <c r="P326" s="8">
        <v>100.2</v>
      </c>
      <c r="Q326" s="8">
        <f>100-P326</f>
        <v>-0.20000000000000284</v>
      </c>
    </row>
    <row r="327" spans="1:17" x14ac:dyDescent="0.2">
      <c r="B327" s="5"/>
      <c r="C327" s="5"/>
      <c r="D327" s="28" t="s">
        <v>36</v>
      </c>
      <c r="E327" s="8">
        <v>75.325199999999995</v>
      </c>
      <c r="F327" s="8">
        <v>9.6934999999999993E-2</v>
      </c>
      <c r="G327" s="8">
        <v>13.0983</v>
      </c>
      <c r="H327" s="8">
        <v>1.5128900000000001</v>
      </c>
      <c r="I327" s="8">
        <v>7.5217999999999993E-2</v>
      </c>
      <c r="J327" s="8">
        <v>3.3279999999999997E-2</v>
      </c>
      <c r="K327" s="8">
        <v>0.699762</v>
      </c>
      <c r="L327" s="8">
        <v>4.0262099999999998</v>
      </c>
      <c r="M327" s="8">
        <v>5.3796499999999998</v>
      </c>
      <c r="N327" s="8">
        <v>0</v>
      </c>
      <c r="O327" s="8">
        <v>0.33301900000000001</v>
      </c>
      <c r="P327" s="8">
        <v>100.505</v>
      </c>
      <c r="Q327" s="8">
        <f>100-P327</f>
        <v>-0.50499999999999545</v>
      </c>
    </row>
    <row r="328" spans="1:17" x14ac:dyDescent="0.2">
      <c r="B328" s="5"/>
      <c r="C328" s="5"/>
      <c r="D328" s="28" t="s">
        <v>37</v>
      </c>
      <c r="E328" s="8">
        <v>75.381200000000007</v>
      </c>
      <c r="F328" s="8">
        <v>0.15187100000000001</v>
      </c>
      <c r="G328" s="8">
        <v>13.0547</v>
      </c>
      <c r="H328" s="8">
        <v>1.7448600000000001</v>
      </c>
      <c r="I328" s="8">
        <v>0</v>
      </c>
      <c r="J328" s="8">
        <v>4.6885000000000003E-2</v>
      </c>
      <c r="K328" s="8">
        <v>0.72979899999999998</v>
      </c>
      <c r="L328" s="8">
        <v>3.98536</v>
      </c>
      <c r="M328" s="8">
        <v>5.1294500000000003</v>
      </c>
      <c r="N328" s="8">
        <v>1.0985999999999999E-2</v>
      </c>
      <c r="O328" s="8">
        <v>0.33085599999999998</v>
      </c>
      <c r="P328" s="8">
        <v>100.491</v>
      </c>
      <c r="Q328" s="8">
        <f>100-P328</f>
        <v>-0.49099999999999966</v>
      </c>
    </row>
    <row r="329" spans="1:17" x14ac:dyDescent="0.2">
      <c r="B329" s="5"/>
      <c r="C329" s="5"/>
      <c r="D329" s="28" t="s">
        <v>38</v>
      </c>
      <c r="E329" s="8">
        <v>75.114900000000006</v>
      </c>
      <c r="F329" s="8">
        <v>9.8759E-2</v>
      </c>
      <c r="G329" s="8">
        <v>13.0806</v>
      </c>
      <c r="H329" s="8">
        <v>1.5270699999999999</v>
      </c>
      <c r="I329" s="8">
        <v>6.6541000000000003E-2</v>
      </c>
      <c r="J329" s="8">
        <v>3.7323000000000002E-2</v>
      </c>
      <c r="K329" s="8">
        <v>0.74343099999999995</v>
      </c>
      <c r="L329" s="8">
        <v>3.9855800000000001</v>
      </c>
      <c r="M329" s="8">
        <v>5.34666</v>
      </c>
      <c r="N329" s="8">
        <v>0</v>
      </c>
      <c r="O329" s="8">
        <v>0.32740599999999997</v>
      </c>
      <c r="P329" s="8">
        <v>100.254</v>
      </c>
      <c r="Q329" s="8">
        <f>100-P329</f>
        <v>-0.25400000000000489</v>
      </c>
    </row>
    <row r="330" spans="1:17" x14ac:dyDescent="0.2">
      <c r="B330" s="5"/>
      <c r="C330" s="5"/>
      <c r="D330" s="30" t="s">
        <v>20</v>
      </c>
      <c r="E330" s="16">
        <f>AVERAGE(E326:E329)</f>
        <v>75.189525000000003</v>
      </c>
      <c r="F330" s="16">
        <f t="shared" ref="F330:Q330" si="36">AVERAGE(F326:F329)</f>
        <v>9.892274999999999E-2</v>
      </c>
      <c r="G330" s="16">
        <f t="shared" si="36"/>
        <v>13.083674999999999</v>
      </c>
      <c r="H330" s="16">
        <f t="shared" si="36"/>
        <v>1.6097025</v>
      </c>
      <c r="I330" s="16">
        <f t="shared" si="36"/>
        <v>5.4966500000000001E-2</v>
      </c>
      <c r="J330" s="16">
        <f t="shared" si="36"/>
        <v>3.9440499999999996E-2</v>
      </c>
      <c r="K330" s="16">
        <f t="shared" si="36"/>
        <v>0.71896249999999995</v>
      </c>
      <c r="L330" s="16">
        <f t="shared" si="36"/>
        <v>4.0006750000000002</v>
      </c>
      <c r="M330" s="16">
        <f t="shared" si="36"/>
        <v>5.2985299999999995</v>
      </c>
      <c r="N330" s="16">
        <f t="shared" si="36"/>
        <v>9.1537499999999987E-3</v>
      </c>
      <c r="O330" s="16">
        <f t="shared" si="36"/>
        <v>0.33472250000000003</v>
      </c>
      <c r="P330" s="16">
        <f t="shared" si="36"/>
        <v>100.3625</v>
      </c>
      <c r="Q330" s="16">
        <f t="shared" si="36"/>
        <v>-0.36250000000000071</v>
      </c>
    </row>
    <row r="331" spans="1:17" x14ac:dyDescent="0.2">
      <c r="B331" s="5"/>
      <c r="C331" s="5"/>
      <c r="D331" s="30" t="s">
        <v>61</v>
      </c>
      <c r="E331" s="16">
        <f>STDEV(E326:E329)</f>
        <v>0.20378569421494228</v>
      </c>
      <c r="F331" s="16">
        <f t="shared" ref="F331:Q331" si="37">STDEV(F326:F329)</f>
        <v>4.2378473123155347E-2</v>
      </c>
      <c r="G331" s="16">
        <f t="shared" si="37"/>
        <v>2.1342660721350222E-2</v>
      </c>
      <c r="H331" s="16">
        <f t="shared" si="37"/>
        <v>0.11019637422196193</v>
      </c>
      <c r="I331" s="16">
        <f t="shared" si="37"/>
        <v>3.6972472485170188E-2</v>
      </c>
      <c r="J331" s="16">
        <f t="shared" si="37"/>
        <v>5.7315172220509551E-3</v>
      </c>
      <c r="K331" s="16">
        <f t="shared" si="37"/>
        <v>2.1167202184826709E-2</v>
      </c>
      <c r="L331" s="16">
        <f t="shared" si="37"/>
        <v>1.947827935590472E-2</v>
      </c>
      <c r="M331" s="16">
        <f t="shared" si="37"/>
        <v>0.11412190353594098</v>
      </c>
      <c r="N331" s="16">
        <f t="shared" si="37"/>
        <v>1.2143218693987191E-2</v>
      </c>
      <c r="O331" s="16">
        <f t="shared" si="37"/>
        <v>8.8965309531299983E-3</v>
      </c>
      <c r="P331" s="16">
        <f t="shared" si="37"/>
        <v>0.15811072069913185</v>
      </c>
      <c r="Q331" s="16">
        <f t="shared" si="37"/>
        <v>0.15811072069913185</v>
      </c>
    </row>
    <row r="332" spans="1:17" x14ac:dyDescent="0.2">
      <c r="B332" s="5"/>
      <c r="C332" s="5"/>
      <c r="D332" s="23"/>
    </row>
    <row r="333" spans="1:17" x14ac:dyDescent="0.2">
      <c r="A333" s="1" t="s">
        <v>71</v>
      </c>
      <c r="B333" s="5"/>
      <c r="C333" s="5"/>
      <c r="D333" s="28" t="s">
        <v>40</v>
      </c>
      <c r="E333" s="8">
        <v>75.003703613484916</v>
      </c>
      <c r="F333" s="8">
        <v>0.29154328496255671</v>
      </c>
      <c r="G333" s="8">
        <v>12.898762241071202</v>
      </c>
      <c r="H333" s="8">
        <v>1.7450887939470399</v>
      </c>
      <c r="I333" s="8">
        <v>9.1455414312685238E-2</v>
      </c>
      <c r="J333" s="8">
        <v>0.32212758251366402</v>
      </c>
      <c r="K333" s="8">
        <v>1.483981585620221</v>
      </c>
      <c r="L333" s="8">
        <v>4.074282010538723</v>
      </c>
      <c r="M333" s="8">
        <v>3.829854406924015</v>
      </c>
      <c r="N333" s="8">
        <v>6.4599442863565004E-2</v>
      </c>
      <c r="O333" s="8">
        <v>0.25138370897659901</v>
      </c>
      <c r="P333" s="8">
        <v>100.00043834955004</v>
      </c>
      <c r="Q333" s="8">
        <v>3.5223877524312002</v>
      </c>
    </row>
    <row r="334" spans="1:17" x14ac:dyDescent="0.2">
      <c r="B334" s="5"/>
      <c r="C334" s="5"/>
      <c r="D334" s="28" t="s">
        <v>41</v>
      </c>
      <c r="E334" s="8">
        <v>75.34900148800628</v>
      </c>
      <c r="F334" s="8">
        <v>0.35463721951407867</v>
      </c>
      <c r="G334" s="8">
        <v>13.161988668675278</v>
      </c>
      <c r="H334" s="8">
        <v>1.6747188599990173</v>
      </c>
      <c r="I334" s="8">
        <v>3.8921402257176135E-2</v>
      </c>
      <c r="J334" s="8">
        <v>0.3175653752018297</v>
      </c>
      <c r="K334" s="8">
        <v>1.3731416098513232</v>
      </c>
      <c r="L334" s="8">
        <v>3.7218112485298542</v>
      </c>
      <c r="M334" s="8">
        <v>3.7369414916623036</v>
      </c>
      <c r="N334" s="8">
        <v>0.14427896727327261</v>
      </c>
      <c r="O334" s="8">
        <v>0.1639444852212654</v>
      </c>
      <c r="P334" s="8">
        <v>100.00028482356365</v>
      </c>
      <c r="Q334" s="8">
        <v>3.3282517639438254</v>
      </c>
    </row>
    <row r="335" spans="1:17" x14ac:dyDescent="0.2">
      <c r="B335" s="5"/>
      <c r="C335" s="5"/>
      <c r="D335" s="28" t="s">
        <v>42</v>
      </c>
      <c r="E335" s="8">
        <v>75.457968504849831</v>
      </c>
      <c r="F335" s="8">
        <v>0.29531431532579844</v>
      </c>
      <c r="G335" s="8">
        <v>13.086897750860269</v>
      </c>
      <c r="H335" s="8">
        <v>1.6749976598504883</v>
      </c>
      <c r="I335" s="8">
        <v>1.2054027973862669E-2</v>
      </c>
      <c r="J335" s="8">
        <v>0.32678305340992114</v>
      </c>
      <c r="K335" s="8">
        <v>1.5089190156640511</v>
      </c>
      <c r="L335" s="8">
        <v>3.725546275887861</v>
      </c>
      <c r="M335" s="8">
        <v>3.716204164190303</v>
      </c>
      <c r="N335" s="8">
        <v>1.1464756957002567E-2</v>
      </c>
      <c r="O335" s="8">
        <v>0.23752306996380648</v>
      </c>
      <c r="P335" s="8">
        <v>100.00041393302698</v>
      </c>
      <c r="Q335" s="8">
        <v>3.9491195382561273</v>
      </c>
    </row>
    <row r="336" spans="1:17" x14ac:dyDescent="0.2">
      <c r="B336" s="5"/>
      <c r="C336" s="5"/>
      <c r="D336" s="28" t="s">
        <v>43</v>
      </c>
      <c r="E336" s="8">
        <v>75.378154057274642</v>
      </c>
      <c r="F336" s="8">
        <v>0.39062285051738055</v>
      </c>
      <c r="G336" s="8">
        <v>13.213749716602265</v>
      </c>
      <c r="H336" s="8">
        <v>1.7543249665539162</v>
      </c>
      <c r="I336" s="8">
        <v>6.6417806000055521E-2</v>
      </c>
      <c r="J336" s="8">
        <v>0.29741159259622851</v>
      </c>
      <c r="K336" s="8">
        <v>1.461097862614601</v>
      </c>
      <c r="L336" s="8">
        <v>3.5819306342630446</v>
      </c>
      <c r="M336" s="8">
        <v>3.6184390467924676</v>
      </c>
      <c r="N336" s="8">
        <v>0</v>
      </c>
      <c r="O336" s="8">
        <v>0.3071260311182844</v>
      </c>
      <c r="P336" s="8">
        <v>100.00053100072965</v>
      </c>
      <c r="Q336" s="8">
        <v>4.1220964150084001</v>
      </c>
    </row>
    <row r="337" spans="1:22" x14ac:dyDescent="0.2">
      <c r="B337" s="5"/>
      <c r="C337" s="5"/>
      <c r="D337" s="30" t="s">
        <v>20</v>
      </c>
      <c r="E337" s="16">
        <f>AVERAGE(E333:E336)</f>
        <v>75.297206915903914</v>
      </c>
      <c r="F337" s="16">
        <f t="shared" ref="F337" si="38">AVERAGE(F333:F336)</f>
        <v>0.33302941757995358</v>
      </c>
      <c r="G337" s="16">
        <f t="shared" ref="G337" si="39">AVERAGE(G333:G336)</f>
        <v>13.090349594302253</v>
      </c>
      <c r="H337" s="16">
        <f t="shared" ref="H337" si="40">AVERAGE(H333:H336)</f>
        <v>1.7122825700876154</v>
      </c>
      <c r="I337" s="16">
        <f t="shared" ref="I337" si="41">AVERAGE(I333:I336)</f>
        <v>5.22121626359449E-2</v>
      </c>
      <c r="J337" s="16">
        <f t="shared" ref="J337" si="42">AVERAGE(J333:J336)</f>
        <v>0.31597190093041083</v>
      </c>
      <c r="K337" s="16">
        <f t="shared" ref="K337" si="43">AVERAGE(K333:K336)</f>
        <v>1.456785018437549</v>
      </c>
      <c r="L337" s="16">
        <f t="shared" ref="L337" si="44">AVERAGE(L333:L336)</f>
        <v>3.775892542304871</v>
      </c>
      <c r="M337" s="16">
        <f>AVERAGE(M333:M336)</f>
        <v>3.7253597773922724</v>
      </c>
      <c r="N337" s="16">
        <f t="shared" ref="N337" si="45">AVERAGE(N333:N336)</f>
        <v>5.5085791773460041E-2</v>
      </c>
      <c r="O337" s="16">
        <f t="shared" ref="O337" si="46">AVERAGE(O333:O336)</f>
        <v>0.23999432381998881</v>
      </c>
      <c r="P337" s="16">
        <f t="shared" ref="P337" si="47">AVERAGE(P333:P336)</f>
        <v>100.00041702671757</v>
      </c>
      <c r="Q337" s="16">
        <f t="shared" ref="Q337" si="48">AVERAGE(Q333:Q336)</f>
        <v>3.7304638674098882</v>
      </c>
    </row>
    <row r="338" spans="1:22" x14ac:dyDescent="0.2">
      <c r="B338" s="5"/>
      <c r="C338" s="5"/>
      <c r="D338" s="30" t="s">
        <v>61</v>
      </c>
      <c r="E338" s="16">
        <f>STDEV(E333:E336)</f>
        <v>0.20101707589707687</v>
      </c>
      <c r="F338" s="16">
        <f t="shared" ref="F338:Q338" si="49">STDEV(F333:F336)</f>
        <v>4.8053542219528053E-2</v>
      </c>
      <c r="G338" s="16">
        <f t="shared" si="49"/>
        <v>0.13793401357401469</v>
      </c>
      <c r="H338" s="16">
        <f t="shared" si="49"/>
        <v>4.3378213700563134E-2</v>
      </c>
      <c r="I338" s="16">
        <f t="shared" si="49"/>
        <v>3.4308177822671086E-2</v>
      </c>
      <c r="J338" s="16">
        <f t="shared" si="49"/>
        <v>1.2933131090384572E-2</v>
      </c>
      <c r="K338" s="16">
        <f t="shared" si="49"/>
        <v>5.9083069650993261E-2</v>
      </c>
      <c r="L338" s="16">
        <f t="shared" si="49"/>
        <v>0.20985473499750495</v>
      </c>
      <c r="M338" s="16">
        <f t="shared" si="49"/>
        <v>8.673548215024976E-2</v>
      </c>
      <c r="N338" s="16">
        <f t="shared" si="49"/>
        <v>6.5785437209593775E-2</v>
      </c>
      <c r="O338" s="16">
        <f t="shared" si="49"/>
        <v>5.8952153665898878E-2</v>
      </c>
      <c r="P338" s="16">
        <f t="shared" si="49"/>
        <v>1.0154142577170817E-4</v>
      </c>
      <c r="Q338" s="16">
        <f t="shared" si="49"/>
        <v>0.36799302553668889</v>
      </c>
      <c r="S338" s="5"/>
      <c r="T338" s="19"/>
      <c r="U338" s="19"/>
      <c r="V338" s="19"/>
    </row>
    <row r="339" spans="1:22" x14ac:dyDescent="0.2">
      <c r="B339" s="5"/>
      <c r="C339" s="5"/>
      <c r="D339" s="23"/>
      <c r="S339" s="5"/>
      <c r="T339" s="19"/>
      <c r="U339" s="19"/>
      <c r="V339" s="19"/>
    </row>
    <row r="340" spans="1:22" x14ac:dyDescent="0.2">
      <c r="A340" s="1" t="s">
        <v>71</v>
      </c>
      <c r="B340" s="19">
        <v>256.08</v>
      </c>
      <c r="C340" s="19">
        <v>256.10000000000002</v>
      </c>
      <c r="D340" s="28" t="s">
        <v>545</v>
      </c>
      <c r="E340" s="17">
        <v>69.339025679334327</v>
      </c>
      <c r="F340" s="17">
        <v>0.71781496629532415</v>
      </c>
      <c r="G340" s="17">
        <v>14.748692350483234</v>
      </c>
      <c r="H340" s="17">
        <v>3.6873409279089273</v>
      </c>
      <c r="I340" s="17">
        <v>6.5838183439979936E-2</v>
      </c>
      <c r="J340" s="17">
        <v>1.0392148075287333</v>
      </c>
      <c r="K340" s="17">
        <v>3.3507798005524405</v>
      </c>
      <c r="L340" s="17">
        <v>4.315766424252919</v>
      </c>
      <c r="M340" s="17">
        <v>2.4241802486654369</v>
      </c>
      <c r="N340" s="17">
        <v>0.19203621291459708</v>
      </c>
      <c r="O340" s="17">
        <v>0.15412895082026867</v>
      </c>
      <c r="P340" s="17">
        <v>100</v>
      </c>
      <c r="Q340" s="17">
        <v>1.1561428341561992</v>
      </c>
      <c r="S340" s="5"/>
      <c r="T340" s="19"/>
      <c r="U340" s="19"/>
      <c r="V340" s="19"/>
    </row>
    <row r="341" spans="1:22" x14ac:dyDescent="0.2">
      <c r="A341" s="5"/>
      <c r="B341" s="5"/>
      <c r="C341" s="5"/>
      <c r="D341" s="28" t="s">
        <v>546</v>
      </c>
      <c r="E341" s="17">
        <v>69.377333250705846</v>
      </c>
      <c r="F341" s="17">
        <v>0.6798793731721352</v>
      </c>
      <c r="G341" s="17">
        <v>14.880984536146904</v>
      </c>
      <c r="H341" s="17">
        <v>3.7549707836803754</v>
      </c>
      <c r="I341" s="17">
        <v>4.8331999148000945E-2</v>
      </c>
      <c r="J341" s="17">
        <v>0.99436810344454563</v>
      </c>
      <c r="K341" s="17">
        <v>3.1725110869499131</v>
      </c>
      <c r="L341" s="17">
        <v>4.4809789388867909</v>
      </c>
      <c r="M341" s="17">
        <v>2.3371674770033612</v>
      </c>
      <c r="N341" s="17">
        <v>0.16274329116003361</v>
      </c>
      <c r="O341" s="17">
        <v>0.14300347879449182</v>
      </c>
      <c r="P341" s="17">
        <v>100</v>
      </c>
      <c r="Q341" s="17">
        <v>1.2807232452882005</v>
      </c>
      <c r="S341" s="5"/>
      <c r="T341" s="19"/>
      <c r="U341" s="19"/>
      <c r="V341" s="19"/>
    </row>
    <row r="342" spans="1:22" x14ac:dyDescent="0.2">
      <c r="B342" s="5"/>
      <c r="C342" s="5"/>
      <c r="D342" s="28" t="s">
        <v>547</v>
      </c>
      <c r="E342" s="17">
        <v>71.142540739303399</v>
      </c>
      <c r="F342" s="17">
        <v>0.64617884826608463</v>
      </c>
      <c r="G342" s="17">
        <v>14.30442307053768</v>
      </c>
      <c r="H342" s="17">
        <v>3.2482675611039604</v>
      </c>
      <c r="I342" s="17">
        <v>5.7836242764683313E-2</v>
      </c>
      <c r="J342" s="17">
        <v>0.71647775740990882</v>
      </c>
      <c r="K342" s="17">
        <v>2.6184616573843349</v>
      </c>
      <c r="L342" s="17">
        <v>4.3250341464546382</v>
      </c>
      <c r="M342" s="17">
        <v>2.6478842549365944</v>
      </c>
      <c r="N342" s="17">
        <v>0.17620236158991162</v>
      </c>
      <c r="O342" s="17">
        <v>0.15064871939085231</v>
      </c>
      <c r="P342" s="17">
        <v>100</v>
      </c>
      <c r="Q342" s="17">
        <v>2.4366084263409959</v>
      </c>
      <c r="S342" s="5"/>
      <c r="T342" s="19"/>
      <c r="U342" s="19"/>
      <c r="V342" s="19"/>
    </row>
    <row r="343" spans="1:22" x14ac:dyDescent="0.2">
      <c r="B343" s="5"/>
      <c r="C343" s="5"/>
      <c r="D343" s="28" t="s">
        <v>548</v>
      </c>
      <c r="E343" s="17">
        <v>71.664755103798214</v>
      </c>
      <c r="F343" s="17">
        <v>0.54873559326113419</v>
      </c>
      <c r="G343" s="17">
        <v>14.409174100519436</v>
      </c>
      <c r="H343" s="17">
        <v>2.6891211367564054</v>
      </c>
      <c r="I343" s="17">
        <v>0.11903919730358395</v>
      </c>
      <c r="J343" s="17">
        <v>0.71884207113039278</v>
      </c>
      <c r="K343" s="17">
        <v>2.6056671071229438</v>
      </c>
      <c r="L343" s="17">
        <v>4.2363486064025393</v>
      </c>
      <c r="M343" s="17">
        <v>2.6714019324579517</v>
      </c>
      <c r="N343" s="17">
        <v>0.16163960326407867</v>
      </c>
      <c r="O343" s="17">
        <v>0.22638198056579348</v>
      </c>
      <c r="P343" s="17">
        <v>100</v>
      </c>
      <c r="Q343" s="17">
        <v>0.38827320248574893</v>
      </c>
      <c r="S343" s="5"/>
      <c r="T343" s="19"/>
      <c r="U343" s="19"/>
      <c r="V343" s="19"/>
    </row>
    <row r="344" spans="1:22" x14ac:dyDescent="0.2">
      <c r="B344" s="5"/>
      <c r="C344" s="5"/>
      <c r="D344" s="28" t="s">
        <v>549</v>
      </c>
      <c r="E344" s="17">
        <v>76.687346350549632</v>
      </c>
      <c r="F344" s="17">
        <v>0.28424430100251985</v>
      </c>
      <c r="G344" s="17">
        <v>12.445935668571227</v>
      </c>
      <c r="H344" s="17">
        <v>1.6936357034549865</v>
      </c>
      <c r="I344" s="17">
        <v>0</v>
      </c>
      <c r="J344" s="17">
        <v>0.26003636893033261</v>
      </c>
      <c r="K344" s="17">
        <v>1.2633801906922109</v>
      </c>
      <c r="L344" s="17">
        <v>4.3909010861686575</v>
      </c>
      <c r="M344" s="17">
        <v>2.8623382546635323</v>
      </c>
      <c r="N344" s="17">
        <v>0</v>
      </c>
      <c r="O344" s="17">
        <v>0.14437202891143716</v>
      </c>
      <c r="P344" s="17">
        <v>100</v>
      </c>
      <c r="Q344" s="17">
        <v>-4.9851130517097886E-2</v>
      </c>
      <c r="S344" s="5"/>
      <c r="T344" s="19"/>
      <c r="U344" s="19"/>
      <c r="V344" s="19"/>
    </row>
    <row r="345" spans="1:22" x14ac:dyDescent="0.2">
      <c r="B345" s="5"/>
      <c r="C345" s="5"/>
      <c r="D345" s="28" t="s">
        <v>550</v>
      </c>
      <c r="E345" s="17">
        <v>77.701701615987702</v>
      </c>
      <c r="F345" s="17">
        <v>0.15774470790546219</v>
      </c>
      <c r="G345" s="17">
        <v>12.218122066246966</v>
      </c>
      <c r="H345" s="17">
        <v>1.2679052014987984</v>
      </c>
      <c r="I345" s="17">
        <v>0.11159081145961651</v>
      </c>
      <c r="J345" s="17">
        <v>8.7023979914134325E-2</v>
      </c>
      <c r="K345" s="17">
        <v>0.70389764980191061</v>
      </c>
      <c r="L345" s="17">
        <v>4.3682819249133846</v>
      </c>
      <c r="M345" s="17">
        <v>3.2006638160212422</v>
      </c>
      <c r="N345" s="17">
        <v>1.4753893217696103E-2</v>
      </c>
      <c r="O345" s="17">
        <v>0.21780584800563077</v>
      </c>
      <c r="P345" s="17">
        <v>100</v>
      </c>
      <c r="Q345" s="17">
        <v>-4.139098889893944E-2</v>
      </c>
      <c r="S345" s="5"/>
      <c r="T345" s="19"/>
      <c r="U345" s="19"/>
      <c r="V345" s="19"/>
    </row>
    <row r="346" spans="1:22" x14ac:dyDescent="0.2">
      <c r="B346" s="5"/>
      <c r="C346" s="5"/>
      <c r="D346" s="28" t="s">
        <v>551</v>
      </c>
      <c r="E346" s="17">
        <v>77.704255020366077</v>
      </c>
      <c r="F346" s="17">
        <v>0.16699361945680183</v>
      </c>
      <c r="G346" s="17">
        <v>12.126403851489357</v>
      </c>
      <c r="H346" s="17">
        <v>1.1903933971470013</v>
      </c>
      <c r="I346" s="17">
        <v>0.14168924533861169</v>
      </c>
      <c r="J346" s="17">
        <v>0.11519335951023595</v>
      </c>
      <c r="K346" s="17">
        <v>0.74531599092649692</v>
      </c>
      <c r="L346" s="17">
        <v>4.3255636678138707</v>
      </c>
      <c r="M346" s="17">
        <v>3.2401413768961858</v>
      </c>
      <c r="N346" s="17">
        <v>7.5067271038124758E-2</v>
      </c>
      <c r="O346" s="17">
        <v>0.21828860523957747</v>
      </c>
      <c r="P346" s="17">
        <v>100</v>
      </c>
      <c r="Q346" s="17">
        <v>1.6375592466928026</v>
      </c>
      <c r="S346" s="5"/>
      <c r="T346" s="19"/>
      <c r="U346" s="19"/>
      <c r="V346" s="19"/>
    </row>
    <row r="347" spans="1:22" x14ac:dyDescent="0.2">
      <c r="B347" s="5"/>
      <c r="C347" s="5"/>
      <c r="D347" s="28" t="s">
        <v>552</v>
      </c>
      <c r="E347" s="17">
        <v>77.824099174830636</v>
      </c>
      <c r="F347" s="17">
        <v>0.21531985054735919</v>
      </c>
      <c r="G347" s="17">
        <v>12.075838677933042</v>
      </c>
      <c r="H347" s="17">
        <v>1.1957875561189963</v>
      </c>
      <c r="I347" s="17">
        <v>1.0198933434389108E-2</v>
      </c>
      <c r="J347" s="17">
        <v>9.585050185843455E-2</v>
      </c>
      <c r="K347" s="17">
        <v>0.74229485665461226</v>
      </c>
      <c r="L347" s="17">
        <v>4.5687226927774764</v>
      </c>
      <c r="M347" s="17">
        <v>3.0958510130451122</v>
      </c>
      <c r="N347" s="17">
        <v>0</v>
      </c>
      <c r="O347" s="17">
        <v>0.2268768350531713</v>
      </c>
      <c r="P347" s="17">
        <v>100</v>
      </c>
      <c r="Q347" s="17">
        <v>0.37193530709008371</v>
      </c>
      <c r="S347" s="5"/>
      <c r="T347" s="19"/>
      <c r="U347" s="19"/>
      <c r="V347" s="19"/>
    </row>
    <row r="348" spans="1:22" x14ac:dyDescent="0.2">
      <c r="B348" s="5"/>
      <c r="C348" s="5"/>
      <c r="D348" s="28" t="s">
        <v>553</v>
      </c>
      <c r="E348" s="17">
        <v>77.921700824765665</v>
      </c>
      <c r="F348" s="17">
        <v>0.12704129526230024</v>
      </c>
      <c r="G348" s="17">
        <v>12.205240384260687</v>
      </c>
      <c r="H348" s="17">
        <v>1.2902103648500063</v>
      </c>
      <c r="I348" s="17">
        <v>0.1171466232623445</v>
      </c>
      <c r="J348" s="17">
        <v>0.11614918868809555</v>
      </c>
      <c r="K348" s="17">
        <v>0.74734474760648462</v>
      </c>
      <c r="L348" s="17">
        <v>4.2222242606517995</v>
      </c>
      <c r="M348" s="17">
        <v>3.1433707441012952</v>
      </c>
      <c r="N348" s="17">
        <v>0</v>
      </c>
      <c r="O348" s="17">
        <v>0.14139769684413395</v>
      </c>
      <c r="P348" s="17">
        <v>100</v>
      </c>
      <c r="Q348" s="17">
        <v>0.84562681770692905</v>
      </c>
      <c r="S348" s="5"/>
      <c r="T348" s="19"/>
      <c r="U348" s="19"/>
      <c r="V348" s="19"/>
    </row>
    <row r="349" spans="1:22" x14ac:dyDescent="0.2">
      <c r="B349" s="5"/>
      <c r="C349" s="5"/>
      <c r="D349" s="28" t="s">
        <v>554</v>
      </c>
      <c r="E349" s="17">
        <v>77.922809778071581</v>
      </c>
      <c r="F349" s="17">
        <v>0.1066456751400903</v>
      </c>
      <c r="G349" s="17">
        <v>12.147539628787163</v>
      </c>
      <c r="H349" s="17">
        <v>1.2213755094074841</v>
      </c>
      <c r="I349" s="17">
        <v>1.8956172302420141E-2</v>
      </c>
      <c r="J349" s="17">
        <v>0.12137295417803352</v>
      </c>
      <c r="K349" s="17">
        <v>0.75579636449593646</v>
      </c>
      <c r="L349" s="17">
        <v>4.3184947615845779</v>
      </c>
      <c r="M349" s="17">
        <v>3.2173450339136442</v>
      </c>
      <c r="N349" s="17">
        <v>0</v>
      </c>
      <c r="O349" s="17">
        <v>0.21911675373644987</v>
      </c>
      <c r="P349" s="17">
        <v>100</v>
      </c>
      <c r="Q349" s="17">
        <v>0.47041301902895327</v>
      </c>
    </row>
    <row r="350" spans="1:22" x14ac:dyDescent="0.2">
      <c r="B350" s="5"/>
      <c r="C350" s="5"/>
      <c r="D350" s="28" t="s">
        <v>555</v>
      </c>
      <c r="E350" s="17">
        <v>77.925840961220075</v>
      </c>
      <c r="F350" s="17">
        <v>0.14104695976563122</v>
      </c>
      <c r="G350" s="17">
        <v>12.048342390128445</v>
      </c>
      <c r="H350" s="17">
        <v>1.1308543343343676</v>
      </c>
      <c r="I350" s="17">
        <v>4.650335756333579E-2</v>
      </c>
      <c r="J350" s="17">
        <v>9.1969767197551178E-2</v>
      </c>
      <c r="K350" s="17">
        <v>0.70270905416215368</v>
      </c>
      <c r="L350" s="17">
        <v>4.5957832783233314</v>
      </c>
      <c r="M350" s="17">
        <v>3.1620529199818455</v>
      </c>
      <c r="N350" s="17">
        <v>0</v>
      </c>
      <c r="O350" s="17">
        <v>0.20031830226491906</v>
      </c>
      <c r="P350" s="17">
        <v>100</v>
      </c>
      <c r="Q350" s="17">
        <v>0.18785216361379753</v>
      </c>
    </row>
    <row r="351" spans="1:22" x14ac:dyDescent="0.2">
      <c r="B351" s="5"/>
      <c r="C351" s="5"/>
      <c r="D351" s="28" t="s">
        <v>556</v>
      </c>
      <c r="E351" s="17">
        <v>77.926856389490112</v>
      </c>
      <c r="F351" s="17">
        <v>0.1497203045297969</v>
      </c>
      <c r="G351" s="17">
        <v>12.097546467239075</v>
      </c>
      <c r="H351" s="17">
        <v>1.1366018402665279</v>
      </c>
      <c r="I351" s="17">
        <v>3.7804156256703109E-2</v>
      </c>
      <c r="J351" s="17">
        <v>0.12517041884183205</v>
      </c>
      <c r="K351" s="17">
        <v>0.68400299995879321</v>
      </c>
      <c r="L351" s="17">
        <v>4.3723748571471388</v>
      </c>
      <c r="M351" s="17">
        <v>3.2365988641047054</v>
      </c>
      <c r="N351" s="17">
        <v>8.8824473042676239E-2</v>
      </c>
      <c r="O351" s="17">
        <v>0.18684349455494936</v>
      </c>
      <c r="P351" s="17">
        <v>100</v>
      </c>
      <c r="Q351" s="17">
        <v>0.28874141764175931</v>
      </c>
    </row>
    <row r="352" spans="1:22" x14ac:dyDescent="0.2">
      <c r="B352" s="5"/>
      <c r="C352" s="5"/>
      <c r="D352" s="28" t="s">
        <v>557</v>
      </c>
      <c r="E352" s="17">
        <v>77.949364387708115</v>
      </c>
      <c r="F352" s="17">
        <v>0.18113831711836845</v>
      </c>
      <c r="G352" s="17">
        <v>12.030854808488241</v>
      </c>
      <c r="H352" s="17">
        <v>1.1454274547501675</v>
      </c>
      <c r="I352" s="17">
        <v>0.10866381659435918</v>
      </c>
      <c r="J352" s="17">
        <v>0.12053551806085437</v>
      </c>
      <c r="K352" s="17">
        <v>0.73549824223464377</v>
      </c>
      <c r="L352" s="17">
        <v>4.2850271315274986</v>
      </c>
      <c r="M352" s="17">
        <v>3.2428148287840979</v>
      </c>
      <c r="N352" s="17">
        <v>3.6860394753516504E-2</v>
      </c>
      <c r="O352" s="17">
        <v>0.21206585702561578</v>
      </c>
      <c r="P352" s="17">
        <v>100</v>
      </c>
      <c r="Q352" s="17">
        <v>-0.13728894338188979</v>
      </c>
    </row>
    <row r="353" spans="2:17" x14ac:dyDescent="0.2">
      <c r="B353" s="5"/>
      <c r="C353" s="5"/>
      <c r="D353" s="28" t="s">
        <v>558</v>
      </c>
      <c r="E353" s="17">
        <v>77.953975970894746</v>
      </c>
      <c r="F353" s="17">
        <v>0.15829158629154944</v>
      </c>
      <c r="G353" s="17">
        <v>12.152347094160831</v>
      </c>
      <c r="H353" s="17">
        <v>1.0460134892867112</v>
      </c>
      <c r="I353" s="17">
        <v>7.0554524065178204E-2</v>
      </c>
      <c r="J353" s="17">
        <v>9.6407894171690975E-2</v>
      </c>
      <c r="K353" s="17">
        <v>0.6728271663061518</v>
      </c>
      <c r="L353" s="17">
        <v>4.5454213939422043</v>
      </c>
      <c r="M353" s="17">
        <v>3.1472020992659728</v>
      </c>
      <c r="N353" s="17">
        <v>0</v>
      </c>
      <c r="O353" s="17">
        <v>0.20264104198194766</v>
      </c>
      <c r="P353" s="17">
        <v>100</v>
      </c>
      <c r="Q353" s="17">
        <v>1.3358804097487962</v>
      </c>
    </row>
    <row r="354" spans="2:17" x14ac:dyDescent="0.2">
      <c r="B354" s="5"/>
      <c r="C354" s="5"/>
      <c r="D354" s="28" t="s">
        <v>559</v>
      </c>
      <c r="E354" s="17">
        <v>77.992214757707998</v>
      </c>
      <c r="F354" s="17">
        <v>0.18519136189564886</v>
      </c>
      <c r="G354" s="17">
        <v>12.138699369762907</v>
      </c>
      <c r="H354" s="17">
        <v>1.1442527478946429</v>
      </c>
      <c r="I354" s="17">
        <v>0.12099294965994883</v>
      </c>
      <c r="J354" s="17">
        <v>0.13495941914783255</v>
      </c>
      <c r="K354" s="17">
        <v>0.67675500252682108</v>
      </c>
      <c r="L354" s="17">
        <v>4.1964536551398375</v>
      </c>
      <c r="M354" s="17">
        <v>3.2601293451776279</v>
      </c>
      <c r="N354" s="17">
        <v>0</v>
      </c>
      <c r="O354" s="17">
        <v>0.19412945531081788</v>
      </c>
      <c r="P354" s="17">
        <v>100</v>
      </c>
      <c r="Q354" s="17">
        <v>1.5785627718943545</v>
      </c>
    </row>
    <row r="355" spans="2:17" x14ac:dyDescent="0.2">
      <c r="B355" s="5"/>
      <c r="C355" s="5"/>
      <c r="D355" s="28" t="s">
        <v>560</v>
      </c>
      <c r="E355" s="17">
        <v>78.025159304567765</v>
      </c>
      <c r="F355" s="17">
        <v>0.13993644024503243</v>
      </c>
      <c r="G355" s="17">
        <v>11.952175498729472</v>
      </c>
      <c r="H355" s="17">
        <v>1.093169406657079</v>
      </c>
      <c r="I355" s="17">
        <v>0.11388322976500971</v>
      </c>
      <c r="J355" s="17">
        <v>0.1086477343444406</v>
      </c>
      <c r="K355" s="17">
        <v>0.70294063504819726</v>
      </c>
      <c r="L355" s="17">
        <v>4.551326175619292</v>
      </c>
      <c r="M355" s="17">
        <v>3.0458480735678823</v>
      </c>
      <c r="N355" s="17">
        <v>7.5259737381243155E-2</v>
      </c>
      <c r="O355" s="17">
        <v>0.2476348590774165</v>
      </c>
      <c r="P355" s="17">
        <v>100</v>
      </c>
      <c r="Q355" s="17">
        <v>1.8239996962642664</v>
      </c>
    </row>
    <row r="356" spans="2:17" x14ac:dyDescent="0.2">
      <c r="B356" s="5"/>
      <c r="C356" s="5"/>
      <c r="D356" s="28" t="s">
        <v>561</v>
      </c>
      <c r="E356" s="17">
        <v>78.065212007987299</v>
      </c>
      <c r="F356" s="17">
        <v>0.19292172576537917</v>
      </c>
      <c r="G356" s="17">
        <v>12.122172701150676</v>
      </c>
      <c r="H356" s="17">
        <v>1.1046413090802596</v>
      </c>
      <c r="I356" s="17">
        <v>4.0914281220826847E-2</v>
      </c>
      <c r="J356" s="17">
        <v>0.1104299115446119</v>
      </c>
      <c r="K356" s="17">
        <v>0.74468480597223285</v>
      </c>
      <c r="L356" s="17">
        <v>4.2178485408603104</v>
      </c>
      <c r="M356" s="17">
        <v>3.2342848681443237</v>
      </c>
      <c r="N356" s="17">
        <v>3.7177325445639148E-2</v>
      </c>
      <c r="O356" s="17">
        <v>0.16723304836007599</v>
      </c>
      <c r="P356" s="17">
        <v>100</v>
      </c>
      <c r="Q356" s="17">
        <v>0.64105054030213182</v>
      </c>
    </row>
    <row r="357" spans="2:17" x14ac:dyDescent="0.2">
      <c r="B357" s="5"/>
      <c r="C357" s="5"/>
      <c r="D357" s="28" t="s">
        <v>562</v>
      </c>
      <c r="E357" s="17">
        <v>78.082925641880664</v>
      </c>
      <c r="F357" s="17">
        <v>0.13241242218861543</v>
      </c>
      <c r="G357" s="17">
        <v>12.14616870088671</v>
      </c>
      <c r="H357" s="17">
        <v>1.1786823108167339</v>
      </c>
      <c r="I357" s="17">
        <v>0.10774717379078676</v>
      </c>
      <c r="J357" s="17">
        <v>9.6383857358732658E-2</v>
      </c>
      <c r="K357" s="17">
        <v>0.71976413312949905</v>
      </c>
      <c r="L357" s="17">
        <v>4.2906126199485453</v>
      </c>
      <c r="M357" s="17">
        <v>3.045058489125716</v>
      </c>
      <c r="N357" s="17">
        <v>0</v>
      </c>
      <c r="O357" s="17">
        <v>0.25862574761549662</v>
      </c>
      <c r="P357" s="17">
        <v>100</v>
      </c>
      <c r="Q357" s="17">
        <v>1.6308305164446182</v>
      </c>
    </row>
    <row r="358" spans="2:17" x14ac:dyDescent="0.2">
      <c r="B358" s="5"/>
      <c r="C358" s="5"/>
      <c r="D358" s="28" t="s">
        <v>563</v>
      </c>
      <c r="E358" s="17">
        <v>78.108700984107116</v>
      </c>
      <c r="F358" s="17">
        <v>0.14467685171245678</v>
      </c>
      <c r="G358" s="17">
        <v>11.905104785459283</v>
      </c>
      <c r="H358" s="17">
        <v>1.2385313438820453</v>
      </c>
      <c r="I358" s="17">
        <v>3.6425443830881997E-2</v>
      </c>
      <c r="J358" s="17">
        <v>0.11832195995431379</v>
      </c>
      <c r="K358" s="17">
        <v>0.67590951582144976</v>
      </c>
      <c r="L358" s="17">
        <v>4.3706416841127558</v>
      </c>
      <c r="M358" s="17">
        <v>3.1740258975694005</v>
      </c>
      <c r="N358" s="17">
        <v>7.4155883444714618E-2</v>
      </c>
      <c r="O358" s="17">
        <v>0.1985711698624979</v>
      </c>
      <c r="P358" s="17">
        <v>100</v>
      </c>
      <c r="Q358" s="17">
        <v>0.38281985397189544</v>
      </c>
    </row>
    <row r="359" spans="2:17" x14ac:dyDescent="0.2">
      <c r="B359" s="5"/>
      <c r="C359" s="5"/>
      <c r="D359" s="28" t="s">
        <v>564</v>
      </c>
      <c r="E359" s="17">
        <v>78.110950600760503</v>
      </c>
      <c r="F359" s="17">
        <v>0.14228045669871262</v>
      </c>
      <c r="G359" s="17">
        <v>12.117110372674587</v>
      </c>
      <c r="H359" s="17">
        <v>1.1612062917794714</v>
      </c>
      <c r="I359" s="17">
        <v>5.8362031103380155E-3</v>
      </c>
      <c r="J359" s="17">
        <v>0.11323823074364957</v>
      </c>
      <c r="K359" s="17">
        <v>0.69338880186177532</v>
      </c>
      <c r="L359" s="17">
        <v>4.3348516774337087</v>
      </c>
      <c r="M359" s="17">
        <v>3.1778441464718443</v>
      </c>
      <c r="N359" s="17">
        <v>0</v>
      </c>
      <c r="O359" s="17">
        <v>0.18521773386391352</v>
      </c>
      <c r="P359" s="17">
        <v>100</v>
      </c>
      <c r="Q359" s="17">
        <v>0.56891629215577666</v>
      </c>
    </row>
    <row r="360" spans="2:17" x14ac:dyDescent="0.2">
      <c r="B360" s="5"/>
      <c r="C360" s="5"/>
      <c r="D360" s="28" t="s">
        <v>565</v>
      </c>
      <c r="E360" s="17">
        <v>78.118005671071515</v>
      </c>
      <c r="F360" s="17">
        <v>0.17456023105023047</v>
      </c>
      <c r="G360" s="17">
        <v>12.046019990337115</v>
      </c>
      <c r="H360" s="17">
        <v>1.2540516756923454</v>
      </c>
      <c r="I360" s="17">
        <v>0</v>
      </c>
      <c r="J360" s="17">
        <v>0.11268625272205852</v>
      </c>
      <c r="K360" s="17">
        <v>0.74963184225717505</v>
      </c>
      <c r="L360" s="17">
        <v>4.2776079389649624</v>
      </c>
      <c r="M360" s="17">
        <v>3.035418691390892</v>
      </c>
      <c r="N360" s="17">
        <v>3.7775412233996788E-2</v>
      </c>
      <c r="O360" s="17">
        <v>0.25088598819679969</v>
      </c>
      <c r="P360" s="17">
        <v>100</v>
      </c>
      <c r="Q360" s="17">
        <v>2.1850515591566335</v>
      </c>
    </row>
    <row r="361" spans="2:17" x14ac:dyDescent="0.2">
      <c r="B361" s="5"/>
      <c r="C361" s="5"/>
      <c r="D361" s="28" t="s">
        <v>566</v>
      </c>
      <c r="E361" s="17">
        <v>78.140259070947977</v>
      </c>
      <c r="F361" s="17">
        <v>0.10549641232699845</v>
      </c>
      <c r="G361" s="17">
        <v>11.994398932150773</v>
      </c>
      <c r="H361" s="17">
        <v>1.1580169630116255</v>
      </c>
      <c r="I361" s="17">
        <v>5.9585500591039856E-2</v>
      </c>
      <c r="J361" s="17">
        <v>0.10262804483545346</v>
      </c>
      <c r="K361" s="17">
        <v>0.68388773896910471</v>
      </c>
      <c r="L361" s="17">
        <v>4.5470587770700464</v>
      </c>
      <c r="M361" s="17">
        <v>3.0613699245016677</v>
      </c>
      <c r="N361" s="17">
        <v>0</v>
      </c>
      <c r="O361" s="17">
        <v>0.19020091737071598</v>
      </c>
      <c r="P361" s="17">
        <v>100</v>
      </c>
      <c r="Q361" s="17">
        <v>0.18712705261155804</v>
      </c>
    </row>
    <row r="362" spans="2:17" x14ac:dyDescent="0.2">
      <c r="B362" s="5"/>
      <c r="C362" s="5"/>
      <c r="D362" s="28" t="s">
        <v>567</v>
      </c>
      <c r="E362" s="17">
        <v>78.189476225125475</v>
      </c>
      <c r="F362" s="17">
        <v>0.12007541797617143</v>
      </c>
      <c r="G362" s="17">
        <v>12.04239954069247</v>
      </c>
      <c r="H362" s="17">
        <v>1.1565428305198218</v>
      </c>
      <c r="I362" s="17">
        <v>4.9459567230130473E-2</v>
      </c>
      <c r="J362" s="17">
        <v>9.4824822661986843E-2</v>
      </c>
      <c r="K362" s="17">
        <v>0.64665464299548259</v>
      </c>
      <c r="L362" s="17">
        <v>4.466569353840983</v>
      </c>
      <c r="M362" s="17">
        <v>3.0330916037630411</v>
      </c>
      <c r="N362" s="17">
        <v>3.3338966418120786E-2</v>
      </c>
      <c r="O362" s="17">
        <v>0.21646718709768384</v>
      </c>
      <c r="P362" s="17">
        <v>100</v>
      </c>
      <c r="Q362" s="17">
        <v>0.25185669245925624</v>
      </c>
    </row>
    <row r="363" spans="2:17" x14ac:dyDescent="0.2">
      <c r="B363" s="5"/>
      <c r="C363" s="5"/>
      <c r="D363" s="28" t="s">
        <v>568</v>
      </c>
      <c r="E363" s="17">
        <v>78.213226712338141</v>
      </c>
      <c r="F363" s="17">
        <v>0.14707630706676694</v>
      </c>
      <c r="G363" s="17">
        <v>12.018139504889511</v>
      </c>
      <c r="H363" s="17">
        <v>1.1549708155208034</v>
      </c>
      <c r="I363" s="17">
        <v>0.11299498541284479</v>
      </c>
      <c r="J363" s="17">
        <v>0.1241729709147754</v>
      </c>
      <c r="K363" s="17">
        <v>0.70533614635254116</v>
      </c>
      <c r="L363" s="17">
        <v>4.242626251393057</v>
      </c>
      <c r="M363" s="17">
        <v>3.1034766328996906</v>
      </c>
      <c r="N363" s="17">
        <v>5.2311312853576833E-2</v>
      </c>
      <c r="O363" s="17">
        <v>0.16232766056568995</v>
      </c>
      <c r="P363" s="17">
        <v>100</v>
      </c>
      <c r="Q363" s="17">
        <v>1.162870553984277</v>
      </c>
    </row>
    <row r="364" spans="2:17" x14ac:dyDescent="0.2">
      <c r="B364" s="5"/>
      <c r="C364" s="5"/>
      <c r="D364" s="28" t="s">
        <v>569</v>
      </c>
      <c r="E364" s="17">
        <v>78.234229424073618</v>
      </c>
      <c r="F364" s="17">
        <v>0.17781708577244409</v>
      </c>
      <c r="G364" s="17">
        <v>12.001477865694492</v>
      </c>
      <c r="H364" s="17">
        <v>1.0702039200867091</v>
      </c>
      <c r="I364" s="17">
        <v>3.9472668424032548E-2</v>
      </c>
      <c r="J364" s="17">
        <v>0.10297480902956199</v>
      </c>
      <c r="K364" s="17">
        <v>0.71772494025209799</v>
      </c>
      <c r="L364" s="17">
        <v>4.4033125448289283</v>
      </c>
      <c r="M364" s="17">
        <v>3.0610380074018186</v>
      </c>
      <c r="N364" s="17">
        <v>2.6062347377380137E-2</v>
      </c>
      <c r="O364" s="17">
        <v>0.21411540344417482</v>
      </c>
      <c r="P364" s="17">
        <v>100</v>
      </c>
      <c r="Q364" s="17">
        <v>0.8301147024381379</v>
      </c>
    </row>
    <row r="365" spans="2:17" x14ac:dyDescent="0.2">
      <c r="B365" s="5"/>
      <c r="C365" s="5"/>
      <c r="D365" s="28" t="s">
        <v>570</v>
      </c>
      <c r="E365" s="17">
        <v>78.266566613223929</v>
      </c>
      <c r="F365" s="17">
        <v>0.19566986615082646</v>
      </c>
      <c r="G365" s="17">
        <v>12.111953401369895</v>
      </c>
      <c r="H365" s="17">
        <v>1.099072105418432</v>
      </c>
      <c r="I365" s="17">
        <v>0</v>
      </c>
      <c r="J365" s="17">
        <v>0.1410801255661592</v>
      </c>
      <c r="K365" s="17">
        <v>0.898965599506932</v>
      </c>
      <c r="L365" s="17">
        <v>3.8852818751214011</v>
      </c>
      <c r="M365" s="17">
        <v>3.2101741759583176</v>
      </c>
      <c r="N365" s="17">
        <v>2.0075293034721801E-6</v>
      </c>
      <c r="O365" s="17">
        <v>0.24730050854217572</v>
      </c>
      <c r="P365" s="17">
        <v>100</v>
      </c>
      <c r="Q365" s="17">
        <v>0.37505322882000769</v>
      </c>
    </row>
    <row r="366" spans="2:17" x14ac:dyDescent="0.2">
      <c r="B366" s="5"/>
      <c r="C366" s="5"/>
      <c r="D366" s="28" t="s">
        <v>571</v>
      </c>
      <c r="E366" s="17">
        <v>78.328358453629306</v>
      </c>
      <c r="F366" s="17">
        <v>0.14154023704979812</v>
      </c>
      <c r="G366" s="17">
        <v>11.914226335159031</v>
      </c>
      <c r="H366" s="17">
        <v>1.152818476250721</v>
      </c>
      <c r="I366" s="17">
        <v>8.9858458953661277E-2</v>
      </c>
      <c r="J366" s="17">
        <v>0.11681690976330519</v>
      </c>
      <c r="K366" s="17">
        <v>0.70197590061842263</v>
      </c>
      <c r="L366" s="17">
        <v>4.1719194381552613</v>
      </c>
      <c r="M366" s="17">
        <v>3.2048913774657231</v>
      </c>
      <c r="N366" s="17">
        <v>0</v>
      </c>
      <c r="O366" s="17">
        <v>0.2293837367129565</v>
      </c>
      <c r="P366" s="17">
        <v>100</v>
      </c>
      <c r="Q366" s="17">
        <v>1.4372146692692098</v>
      </c>
    </row>
    <row r="367" spans="2:17" x14ac:dyDescent="0.2">
      <c r="B367" s="5"/>
      <c r="C367" s="5"/>
      <c r="D367" s="28" t="s">
        <v>572</v>
      </c>
      <c r="E367" s="17">
        <v>78.380731129914665</v>
      </c>
      <c r="F367" s="17">
        <v>0.17176748196508229</v>
      </c>
      <c r="G367" s="17">
        <v>11.911946355328478</v>
      </c>
      <c r="H367" s="17">
        <v>1.1089012076078257</v>
      </c>
      <c r="I367" s="17">
        <v>8.3121341109565317E-2</v>
      </c>
      <c r="J367" s="17">
        <v>0.10462734048461646</v>
      </c>
      <c r="K367" s="17">
        <v>0.71237039388528423</v>
      </c>
      <c r="L367" s="17">
        <v>4.2978216535095166</v>
      </c>
      <c r="M367" s="17">
        <v>3.0514218199070005</v>
      </c>
      <c r="N367" s="17">
        <v>0</v>
      </c>
      <c r="O367" s="17">
        <v>0.22833962160210905</v>
      </c>
      <c r="P367" s="17">
        <v>100</v>
      </c>
      <c r="Q367" s="17">
        <v>0.53938146759969641</v>
      </c>
    </row>
    <row r="368" spans="2:17" x14ac:dyDescent="0.2">
      <c r="B368" s="5"/>
      <c r="C368" s="5"/>
      <c r="D368" s="28" t="s">
        <v>573</v>
      </c>
      <c r="E368" s="17">
        <v>78.479028184950479</v>
      </c>
      <c r="F368" s="17">
        <v>0.13873861821309003</v>
      </c>
      <c r="G368" s="17">
        <v>12.065048622168531</v>
      </c>
      <c r="H368" s="17">
        <v>1.0775256606982764</v>
      </c>
      <c r="I368" s="17">
        <v>9.5911144575535956E-2</v>
      </c>
      <c r="J368" s="17">
        <v>0.12722948409789669</v>
      </c>
      <c r="K368" s="17">
        <v>0.73458069740423093</v>
      </c>
      <c r="L368" s="17">
        <v>4.0391004374972468</v>
      </c>
      <c r="M368" s="17">
        <v>2.9873548996583832</v>
      </c>
      <c r="N368" s="17">
        <v>8.6377443686542182E-2</v>
      </c>
      <c r="O368" s="17">
        <v>0.21839003693861644</v>
      </c>
      <c r="P368" s="17">
        <v>100</v>
      </c>
      <c r="Q368" s="17">
        <v>1.5912067177282267</v>
      </c>
    </row>
    <row r="369" spans="1:21" x14ac:dyDescent="0.2">
      <c r="B369" s="5"/>
      <c r="C369" s="5"/>
      <c r="D369" s="30" t="s">
        <v>20</v>
      </c>
      <c r="E369" s="16">
        <f>AVERAGE(E340:E368)</f>
        <v>76.957815518252161</v>
      </c>
      <c r="F369" s="16">
        <f t="shared" ref="F369:Q369" si="50">AVERAGE(F340:F368)</f>
        <v>0.22727435565833837</v>
      </c>
      <c r="G369" s="16">
        <f t="shared" si="50"/>
        <v>12.426844381774009</v>
      </c>
      <c r="H369" s="16">
        <f t="shared" si="50"/>
        <v>1.4776031836372938</v>
      </c>
      <c r="I369" s="16">
        <f t="shared" si="50"/>
        <v>6.587435208992444E-2</v>
      </c>
      <c r="J369" s="16">
        <f>AVERAGE(J340:J368)</f>
        <v>0.22095291600117828</v>
      </c>
      <c r="K369" s="16">
        <f t="shared" si="50"/>
        <v>1.0436226797051817</v>
      </c>
      <c r="L369" s="16">
        <f t="shared" si="50"/>
        <v>4.3325501998049196</v>
      </c>
      <c r="M369" s="16">
        <f t="shared" si="50"/>
        <v>3.0453255454084247</v>
      </c>
      <c r="N369" s="16">
        <f t="shared" si="50"/>
        <v>4.5882342667281098E-2</v>
      </c>
      <c r="O369" s="16">
        <f t="shared" si="50"/>
        <v>0.20181767819828889</v>
      </c>
      <c r="P369" s="16">
        <f t="shared" si="50"/>
        <v>100</v>
      </c>
      <c r="Q369" s="16">
        <f t="shared" si="50"/>
        <v>0.87438901179642703</v>
      </c>
    </row>
    <row r="370" spans="1:21" x14ac:dyDescent="0.2">
      <c r="B370" s="5"/>
      <c r="C370" s="5"/>
      <c r="D370" s="30" t="s">
        <v>61</v>
      </c>
      <c r="E370" s="16">
        <f t="shared" ref="E370:Q370" si="51">STDEV(E340:E368)</f>
        <v>2.7238482097356678</v>
      </c>
      <c r="F370" s="16">
        <f t="shared" si="51"/>
        <v>0.17646955258161812</v>
      </c>
      <c r="G370" s="16">
        <f t="shared" si="51"/>
        <v>0.88984227988287101</v>
      </c>
      <c r="H370" s="16">
        <f t="shared" si="51"/>
        <v>0.7854361707156815</v>
      </c>
      <c r="I370" s="16">
        <f t="shared" si="51"/>
        <v>4.3174615912216129E-2</v>
      </c>
      <c r="J370" s="16">
        <f t="shared" si="51"/>
        <v>0.27085180355555188</v>
      </c>
      <c r="K370" s="16">
        <f t="shared" si="51"/>
        <v>0.78846754883340608</v>
      </c>
      <c r="L370" s="16">
        <f t="shared" si="51"/>
        <v>0.15799700882583073</v>
      </c>
      <c r="M370" s="16">
        <f t="shared" si="51"/>
        <v>0.23890693560650059</v>
      </c>
      <c r="N370" s="16">
        <f t="shared" si="51"/>
        <v>5.9925311642810446E-2</v>
      </c>
      <c r="O370" s="16">
        <f t="shared" si="51"/>
        <v>3.4243944512793105E-2</v>
      </c>
      <c r="P370" s="16">
        <f t="shared" si="51"/>
        <v>0</v>
      </c>
      <c r="Q370" s="16">
        <f t="shared" si="51"/>
        <v>0.70402375128584038</v>
      </c>
    </row>
    <row r="371" spans="1:21" x14ac:dyDescent="0.2">
      <c r="B371" s="5"/>
      <c r="C371" s="5"/>
      <c r="D371" s="28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spans="1:21" x14ac:dyDescent="0.2">
      <c r="A372" s="1" t="s">
        <v>71</v>
      </c>
      <c r="B372" s="5">
        <v>256.10000000000002</v>
      </c>
      <c r="C372" s="5">
        <v>256.12</v>
      </c>
      <c r="D372" s="28" t="s">
        <v>297</v>
      </c>
      <c r="E372" s="17">
        <v>77.562998803836152</v>
      </c>
      <c r="F372" s="17">
        <v>0.15640986554833733</v>
      </c>
      <c r="G372" s="17">
        <v>11.869666708460288</v>
      </c>
      <c r="H372" s="17">
        <v>1.1024250573210836</v>
      </c>
      <c r="I372" s="17">
        <v>5.9233293152474546E-2</v>
      </c>
      <c r="J372" s="17">
        <v>0.1110290703389539</v>
      </c>
      <c r="K372" s="17">
        <v>0.7247087679026466</v>
      </c>
      <c r="L372" s="17">
        <v>5.1029225172795334</v>
      </c>
      <c r="M372" s="17">
        <v>3.0895742920771414</v>
      </c>
      <c r="N372" s="17">
        <v>3.3042683047320186E-2</v>
      </c>
      <c r="O372" s="17">
        <v>0.24285431149206324</v>
      </c>
      <c r="P372" s="17">
        <v>100</v>
      </c>
      <c r="Q372" s="17">
        <v>-0.43675918348742471</v>
      </c>
    </row>
    <row r="373" spans="1:21" x14ac:dyDescent="0.2">
      <c r="B373" s="5"/>
      <c r="C373" s="5"/>
      <c r="D373" s="28" t="s">
        <v>298</v>
      </c>
      <c r="E373" s="17">
        <v>77.889907797984833</v>
      </c>
      <c r="F373" s="17">
        <v>0.22092919359570462</v>
      </c>
      <c r="G373" s="17">
        <v>12.231323313427435</v>
      </c>
      <c r="H373" s="17">
        <v>1.1568413787496041</v>
      </c>
      <c r="I373" s="17">
        <v>5.3779699716588233E-2</v>
      </c>
      <c r="J373" s="17">
        <v>6.6074462917596638E-2</v>
      </c>
      <c r="K373" s="17">
        <v>0.71938134620337091</v>
      </c>
      <c r="L373" s="17">
        <v>4.3948796245435728</v>
      </c>
      <c r="M373" s="17">
        <v>3.0861550708961065</v>
      </c>
      <c r="N373" s="17">
        <v>0</v>
      </c>
      <c r="O373" s="17">
        <v>0.23307674410708626</v>
      </c>
      <c r="P373" s="17">
        <v>100</v>
      </c>
      <c r="Q373" s="17">
        <v>0.14447778064530326</v>
      </c>
    </row>
    <row r="374" spans="1:21" x14ac:dyDescent="0.2">
      <c r="A374" s="5"/>
      <c r="B374" s="5"/>
      <c r="C374" s="5"/>
      <c r="D374" s="28" t="s">
        <v>299</v>
      </c>
      <c r="E374" s="17">
        <v>77.930160849274813</v>
      </c>
      <c r="F374" s="17">
        <v>0.11706293514514426</v>
      </c>
      <c r="G374" s="17">
        <v>12.122221368934303</v>
      </c>
      <c r="H374" s="17">
        <v>1.1208487881686797</v>
      </c>
      <c r="I374" s="17">
        <v>2.3257967858422161E-2</v>
      </c>
      <c r="J374" s="17">
        <v>0.12714522665853906</v>
      </c>
      <c r="K374" s="17">
        <v>0.65907723316450106</v>
      </c>
      <c r="L374" s="17">
        <v>4.5446920401930839</v>
      </c>
      <c r="M374" s="17">
        <v>3.1543884700839797</v>
      </c>
      <c r="N374" s="17">
        <v>5.9165866825028987E-2</v>
      </c>
      <c r="O374" s="17">
        <v>0.18336291447925396</v>
      </c>
      <c r="P374" s="17">
        <v>100</v>
      </c>
      <c r="Q374" s="17">
        <v>0.14174866275010345</v>
      </c>
    </row>
    <row r="375" spans="1:21" x14ac:dyDescent="0.2">
      <c r="B375" s="5"/>
      <c r="C375" s="5"/>
      <c r="D375" s="28" t="s">
        <v>300</v>
      </c>
      <c r="E375" s="17">
        <v>77.968899840305014</v>
      </c>
      <c r="F375" s="17">
        <v>0.13653903414348287</v>
      </c>
      <c r="G375" s="17">
        <v>12.069302217032634</v>
      </c>
      <c r="H375" s="17">
        <v>1.1002188323136475</v>
      </c>
      <c r="I375" s="17">
        <v>8.6170429747914501E-2</v>
      </c>
      <c r="J375" s="17">
        <v>0.10466735213219536</v>
      </c>
      <c r="K375" s="17">
        <v>0.69300689311034813</v>
      </c>
      <c r="L375" s="17">
        <v>4.4663609528796009</v>
      </c>
      <c r="M375" s="17">
        <v>3.1840358974738225</v>
      </c>
      <c r="N375" s="17">
        <v>1.114362117538957E-2</v>
      </c>
      <c r="O375" s="17">
        <v>0.23194183030661003</v>
      </c>
      <c r="P375" s="17">
        <v>100</v>
      </c>
      <c r="Q375" s="17">
        <v>0.58886760736710642</v>
      </c>
    </row>
    <row r="376" spans="1:21" x14ac:dyDescent="0.2">
      <c r="B376" s="5"/>
      <c r="C376" s="5"/>
      <c r="D376" s="28" t="s">
        <v>301</v>
      </c>
      <c r="E376" s="17">
        <v>77.998984418263333</v>
      </c>
      <c r="F376" s="17">
        <v>0.15722845450218559</v>
      </c>
      <c r="G376" s="17">
        <v>12.161998785342544</v>
      </c>
      <c r="H376" s="17">
        <v>1.1640800532194904</v>
      </c>
      <c r="I376" s="17">
        <v>8.402567143591777E-2</v>
      </c>
      <c r="J376" s="17">
        <v>9.88431562730821E-2</v>
      </c>
      <c r="K376" s="17">
        <v>0.76459095228611551</v>
      </c>
      <c r="L376" s="17">
        <v>4.2148324954868732</v>
      </c>
      <c r="M376" s="17">
        <v>3.1056892394689712</v>
      </c>
      <c r="N376" s="17">
        <v>0</v>
      </c>
      <c r="O376" s="17">
        <v>0.32240649114300202</v>
      </c>
      <c r="P376" s="17">
        <v>100</v>
      </c>
      <c r="Q376" s="17">
        <v>1.5419947425304628</v>
      </c>
    </row>
    <row r="377" spans="1:21" x14ac:dyDescent="0.2">
      <c r="B377" s="5"/>
      <c r="C377" s="5"/>
      <c r="D377" s="28" t="s">
        <v>302</v>
      </c>
      <c r="E377" s="17">
        <v>78.175736387403589</v>
      </c>
      <c r="F377" s="17">
        <v>0.16028019648106226</v>
      </c>
      <c r="G377" s="17">
        <v>12.128313067370282</v>
      </c>
      <c r="H377" s="17">
        <v>1.25182657074703</v>
      </c>
      <c r="I377" s="17">
        <v>0</v>
      </c>
      <c r="J377" s="17">
        <v>0.12249892168919638</v>
      </c>
      <c r="K377" s="17">
        <v>0.68997196923062476</v>
      </c>
      <c r="L377" s="17">
        <v>4.1651393200809066</v>
      </c>
      <c r="M377" s="17">
        <v>3.1287280689193286</v>
      </c>
      <c r="N377" s="17">
        <v>1.1076907824382441E-2</v>
      </c>
      <c r="O377" s="17">
        <v>0.21471582916450738</v>
      </c>
      <c r="P377" s="17">
        <v>100</v>
      </c>
      <c r="Q377" s="17">
        <v>-9.8599323464014788E-3</v>
      </c>
      <c r="R377" s="5"/>
      <c r="S377" s="19"/>
      <c r="T377" s="19"/>
      <c r="U377" s="19"/>
    </row>
    <row r="378" spans="1:21" x14ac:dyDescent="0.2">
      <c r="B378" s="5"/>
      <c r="C378" s="5"/>
      <c r="D378" s="28" t="s">
        <v>303</v>
      </c>
      <c r="E378" s="17">
        <v>78.252670023789634</v>
      </c>
      <c r="F378" s="17">
        <v>0.10862291726154565</v>
      </c>
      <c r="G378" s="17">
        <v>12.215291063631328</v>
      </c>
      <c r="H378" s="17">
        <v>1.1480385113126093</v>
      </c>
      <c r="I378" s="17">
        <v>8.9632005415349367E-2</v>
      </c>
      <c r="J378" s="17">
        <v>9.1920355025886788E-2</v>
      </c>
      <c r="K378" s="17">
        <v>0.73724092000059871</v>
      </c>
      <c r="L378" s="17">
        <v>3.973951120220963</v>
      </c>
      <c r="M378" s="17">
        <v>3.1677682078784977</v>
      </c>
      <c r="N378" s="17">
        <v>2.5734473013541537E-2</v>
      </c>
      <c r="O378" s="17">
        <v>0.24422306659405263</v>
      </c>
      <c r="P378" s="17">
        <v>100</v>
      </c>
      <c r="Q378" s="17">
        <v>-0.42171831691038619</v>
      </c>
      <c r="R378" s="5"/>
      <c r="S378" s="19"/>
      <c r="T378" s="19"/>
      <c r="U378" s="19"/>
    </row>
    <row r="379" spans="1:21" x14ac:dyDescent="0.2">
      <c r="B379" s="5"/>
      <c r="C379" s="5"/>
      <c r="D379" s="28" t="s">
        <v>304</v>
      </c>
      <c r="E379" s="17">
        <v>78.2777259351097</v>
      </c>
      <c r="F379" s="17">
        <v>0.15503694933882492</v>
      </c>
      <c r="G379" s="17">
        <v>12.205063094732676</v>
      </c>
      <c r="H379" s="17">
        <v>1.0614217726756887</v>
      </c>
      <c r="I379" s="17">
        <v>0</v>
      </c>
      <c r="J379" s="17">
        <v>8.7463002327947834E-2</v>
      </c>
      <c r="K379" s="17">
        <v>0.69670971668441695</v>
      </c>
      <c r="L379" s="17">
        <v>4.2264647868834739</v>
      </c>
      <c r="M379" s="17">
        <v>3.1308361184863189</v>
      </c>
      <c r="N379" s="17">
        <v>1.1230405547131389E-2</v>
      </c>
      <c r="O379" s="17">
        <v>0.19132525426112659</v>
      </c>
      <c r="P379" s="17">
        <v>100</v>
      </c>
      <c r="Q379" s="17">
        <v>1.3125576499687526</v>
      </c>
      <c r="R379" s="5"/>
      <c r="S379" s="19"/>
      <c r="T379" s="19"/>
      <c r="U379" s="19"/>
    </row>
    <row r="380" spans="1:21" x14ac:dyDescent="0.2">
      <c r="B380" s="5"/>
      <c r="C380" s="5"/>
      <c r="D380" s="28" t="s">
        <v>305</v>
      </c>
      <c r="E380" s="17">
        <v>78.295194610564366</v>
      </c>
      <c r="F380" s="17">
        <v>0.15077257908674677</v>
      </c>
      <c r="G380" s="17">
        <v>12.086163248187365</v>
      </c>
      <c r="H380" s="17">
        <v>1.0764438073375431</v>
      </c>
      <c r="I380" s="17">
        <v>2.4699148954684752E-2</v>
      </c>
      <c r="J380" s="17">
        <v>0.10534487725776412</v>
      </c>
      <c r="K380" s="17">
        <v>0.67854364972538717</v>
      </c>
      <c r="L380" s="17">
        <v>4.2578138709497324</v>
      </c>
      <c r="M380" s="17">
        <v>3.1457299806442025</v>
      </c>
      <c r="N380" s="17">
        <v>0</v>
      </c>
      <c r="O380" s="17">
        <v>0.23188961554352125</v>
      </c>
      <c r="P380" s="17">
        <v>100</v>
      </c>
      <c r="Q380" s="17">
        <v>6.5382636115842274E-2</v>
      </c>
      <c r="R380" s="5"/>
      <c r="S380" s="19"/>
      <c r="T380" s="19"/>
      <c r="U380" s="19"/>
    </row>
    <row r="381" spans="1:21" x14ac:dyDescent="0.2">
      <c r="B381" s="5"/>
      <c r="C381" s="5"/>
      <c r="D381" s="28" t="s">
        <v>306</v>
      </c>
      <c r="E381" s="17">
        <v>78.322107363580841</v>
      </c>
      <c r="F381" s="17">
        <v>0.15550065617696399</v>
      </c>
      <c r="G381" s="17">
        <v>12.249255752777172</v>
      </c>
      <c r="H381" s="17">
        <v>1.0836264059343541</v>
      </c>
      <c r="I381" s="17">
        <v>5.8501986091100923E-3</v>
      </c>
      <c r="J381" s="17">
        <v>7.7690395785237842E-2</v>
      </c>
      <c r="K381" s="17">
        <v>0.6870739970469969</v>
      </c>
      <c r="L381" s="17">
        <v>4.1549101671251005</v>
      </c>
      <c r="M381" s="17">
        <v>3.100621691507877</v>
      </c>
      <c r="N381" s="17">
        <v>0</v>
      </c>
      <c r="O381" s="17">
        <v>0.21070888375363828</v>
      </c>
      <c r="P381" s="17">
        <v>100</v>
      </c>
      <c r="Q381" s="17">
        <v>0.721319256484378</v>
      </c>
      <c r="R381" s="5"/>
      <c r="S381" s="19"/>
      <c r="T381" s="19"/>
      <c r="U381" s="19"/>
    </row>
    <row r="382" spans="1:21" x14ac:dyDescent="0.2">
      <c r="B382" s="5"/>
      <c r="C382" s="5"/>
      <c r="D382" s="28" t="s">
        <v>307</v>
      </c>
      <c r="E382" s="17">
        <v>78.331983529423127</v>
      </c>
      <c r="F382" s="17">
        <v>0.17327931914146563</v>
      </c>
      <c r="G382" s="17">
        <v>12.094868513590779</v>
      </c>
      <c r="H382" s="17">
        <v>1.0815362494627121</v>
      </c>
      <c r="I382" s="17">
        <v>2.776966364488298E-2</v>
      </c>
      <c r="J382" s="17">
        <v>0.10137552806038763</v>
      </c>
      <c r="K382" s="17">
        <v>0.72750298280517867</v>
      </c>
      <c r="L382" s="17">
        <v>4.1178800696271818</v>
      </c>
      <c r="M382" s="17">
        <v>3.1585660236324884</v>
      </c>
      <c r="N382" s="17">
        <v>1.1152556206651325E-2</v>
      </c>
      <c r="O382" s="17">
        <v>0.22529774014866241</v>
      </c>
      <c r="P382" s="17">
        <v>100</v>
      </c>
      <c r="Q382" s="17">
        <v>0.65057916146662365</v>
      </c>
      <c r="R382" s="5"/>
      <c r="S382" s="19"/>
      <c r="T382" s="19"/>
      <c r="U382" s="19"/>
    </row>
    <row r="383" spans="1:21" x14ac:dyDescent="0.2">
      <c r="B383" s="5"/>
      <c r="C383" s="5"/>
      <c r="D383" s="28" t="s">
        <v>308</v>
      </c>
      <c r="E383" s="17">
        <v>78.422572900961271</v>
      </c>
      <c r="F383" s="17">
        <v>0.15289005820737189</v>
      </c>
      <c r="G383" s="17">
        <v>12.157868168608486</v>
      </c>
      <c r="H383" s="17">
        <v>1.0845035481720131</v>
      </c>
      <c r="I383" s="17">
        <v>9.9181703298641094E-2</v>
      </c>
      <c r="J383" s="17">
        <v>8.2164230081351777E-2</v>
      </c>
      <c r="K383" s="17">
        <v>0.69167023159454422</v>
      </c>
      <c r="L383" s="17">
        <v>3.9626071865629497</v>
      </c>
      <c r="M383" s="17">
        <v>3.2010139980796577</v>
      </c>
      <c r="N383" s="17">
        <v>0</v>
      </c>
      <c r="O383" s="17">
        <v>0.18737603146885348</v>
      </c>
      <c r="P383" s="17">
        <v>100</v>
      </c>
      <c r="Q383" s="17">
        <v>0.44938056498088486</v>
      </c>
      <c r="R383" s="5"/>
      <c r="S383" s="19"/>
      <c r="T383" s="19"/>
      <c r="U383" s="19"/>
    </row>
    <row r="384" spans="1:21" x14ac:dyDescent="0.2">
      <c r="B384" s="5"/>
      <c r="C384" s="5"/>
      <c r="D384" s="28" t="s">
        <v>309</v>
      </c>
      <c r="E384" s="17">
        <v>78.481188218599897</v>
      </c>
      <c r="F384" s="17">
        <v>0.10731802643668074</v>
      </c>
      <c r="G384" s="17">
        <v>11.979417617798461</v>
      </c>
      <c r="H384" s="17">
        <v>1.1298668689834597</v>
      </c>
      <c r="I384" s="17">
        <v>4.7970826369287289E-2</v>
      </c>
      <c r="J384" s="17">
        <v>0.125221220288317</v>
      </c>
      <c r="K384" s="17">
        <v>0.73661443917147651</v>
      </c>
      <c r="L384" s="17">
        <v>4.1029546126535603</v>
      </c>
      <c r="M384" s="17">
        <v>3.1280700880874845</v>
      </c>
      <c r="N384" s="17">
        <v>7.3949933773887755E-3</v>
      </c>
      <c r="O384" s="17">
        <v>0.19919418518579038</v>
      </c>
      <c r="P384" s="17">
        <v>100</v>
      </c>
      <c r="Q384" s="17">
        <v>0.13513707016062426</v>
      </c>
      <c r="R384" s="5"/>
      <c r="S384" s="19"/>
      <c r="T384" s="19"/>
      <c r="U384" s="19"/>
    </row>
    <row r="385" spans="1:27" x14ac:dyDescent="0.2">
      <c r="B385" s="5"/>
      <c r="C385" s="5"/>
      <c r="D385" s="28" t="s">
        <v>310</v>
      </c>
      <c r="E385" s="17">
        <v>78.783999456170207</v>
      </c>
      <c r="F385" s="17">
        <v>0.1835291650089563</v>
      </c>
      <c r="G385" s="17">
        <v>11.881970889649784</v>
      </c>
      <c r="H385" s="17">
        <v>0.95861708904091769</v>
      </c>
      <c r="I385" s="17">
        <v>0</v>
      </c>
      <c r="J385" s="17">
        <v>9.8381031165934232E-2</v>
      </c>
      <c r="K385" s="17">
        <v>0.70905100324714809</v>
      </c>
      <c r="L385" s="17">
        <v>4.1564547980130824</v>
      </c>
      <c r="M385" s="17">
        <v>3.0717922091782364</v>
      </c>
      <c r="N385" s="17">
        <v>4.1828218320165214E-2</v>
      </c>
      <c r="O385" s="17">
        <v>0.14780044511276264</v>
      </c>
      <c r="P385" s="17">
        <v>100</v>
      </c>
      <c r="Q385" s="17">
        <v>2.795285974687431</v>
      </c>
      <c r="R385" s="5"/>
      <c r="S385" s="19"/>
      <c r="T385" s="19"/>
      <c r="U385" s="19"/>
    </row>
    <row r="386" spans="1:27" x14ac:dyDescent="0.2">
      <c r="B386" s="5"/>
      <c r="C386" s="5"/>
      <c r="D386" s="23"/>
      <c r="R386" s="5"/>
      <c r="S386" s="19"/>
      <c r="T386" s="19"/>
      <c r="U386" s="19"/>
      <c r="AA386" s="20"/>
    </row>
    <row r="387" spans="1:27" x14ac:dyDescent="0.2">
      <c r="B387" s="5"/>
      <c r="C387" s="5"/>
      <c r="D387" s="30" t="s">
        <v>20</v>
      </c>
      <c r="E387" s="16">
        <f t="shared" ref="E387:Q387" si="52">AVERAGE(E372:E385)</f>
        <v>78.192437866804767</v>
      </c>
      <c r="F387" s="16">
        <f t="shared" si="52"/>
        <v>0.15252852500531947</v>
      </c>
      <c r="G387" s="16">
        <f>AVERAGE(G372:G385)</f>
        <v>12.103765986395965</v>
      </c>
      <c r="H387" s="16">
        <f t="shared" si="52"/>
        <v>1.1085924952456307</v>
      </c>
      <c r="I387" s="16">
        <f t="shared" si="52"/>
        <v>4.2969329157376626E-2</v>
      </c>
      <c r="J387" s="16">
        <f t="shared" si="52"/>
        <v>9.9987059285885055E-2</v>
      </c>
      <c r="K387" s="16">
        <f t="shared" si="52"/>
        <v>0.70822457872666822</v>
      </c>
      <c r="L387" s="16">
        <f t="shared" si="52"/>
        <v>4.2744188258928295</v>
      </c>
      <c r="M387" s="16">
        <f t="shared" si="52"/>
        <v>3.1323549540295796</v>
      </c>
      <c r="N387" s="16">
        <f t="shared" si="52"/>
        <v>1.5126408952642815E-2</v>
      </c>
      <c r="O387" s="16">
        <f t="shared" si="52"/>
        <v>0.21901238162578074</v>
      </c>
      <c r="P387" s="16">
        <f t="shared" si="52"/>
        <v>100</v>
      </c>
      <c r="Q387" s="16">
        <f t="shared" si="52"/>
        <v>0.54845669102952144</v>
      </c>
      <c r="R387" s="5"/>
      <c r="S387" s="19"/>
      <c r="T387" s="19"/>
      <c r="U387" s="19"/>
      <c r="AA387" s="20"/>
    </row>
    <row r="388" spans="1:27" x14ac:dyDescent="0.2">
      <c r="B388" s="5"/>
      <c r="C388" s="5"/>
      <c r="D388" s="30" t="s">
        <v>61</v>
      </c>
      <c r="E388" s="16">
        <f t="shared" ref="E388:Q388" si="53">STDEV(E372:E385)</f>
        <v>0.3023258221499342</v>
      </c>
      <c r="F388" s="16">
        <f t="shared" si="53"/>
        <v>2.9962839057317555E-2</v>
      </c>
      <c r="G388" s="16">
        <f t="shared" si="53"/>
        <v>0.12039460203530473</v>
      </c>
      <c r="H388" s="16">
        <f t="shared" si="53"/>
        <v>6.5560685172602287E-2</v>
      </c>
      <c r="I388" s="16">
        <f t="shared" si="53"/>
        <v>3.6338025204010631E-2</v>
      </c>
      <c r="J388" s="16">
        <f t="shared" si="53"/>
        <v>1.807303195130246E-2</v>
      </c>
      <c r="K388" s="16">
        <f t="shared" si="53"/>
        <v>2.8159958606278089E-2</v>
      </c>
      <c r="L388" s="16">
        <f t="shared" si="53"/>
        <v>0.2906883008525985</v>
      </c>
      <c r="M388" s="16">
        <f t="shared" si="53"/>
        <v>3.8605312456997193E-2</v>
      </c>
      <c r="N388" s="16">
        <f t="shared" si="53"/>
        <v>1.8298868829285525E-2</v>
      </c>
      <c r="O388" s="16">
        <f t="shared" si="53"/>
        <v>4.0243770079096464E-2</v>
      </c>
      <c r="P388" s="16">
        <f t="shared" si="53"/>
        <v>0</v>
      </c>
      <c r="Q388" s="16">
        <f t="shared" si="53"/>
        <v>0.86056246815440884</v>
      </c>
    </row>
    <row r="389" spans="1:27" x14ac:dyDescent="0.2">
      <c r="B389" s="5"/>
      <c r="C389" s="5"/>
      <c r="D389" s="28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spans="1:27" x14ac:dyDescent="0.2">
      <c r="A390" s="1" t="s">
        <v>71</v>
      </c>
      <c r="B390" s="19">
        <v>256.12</v>
      </c>
      <c r="C390" s="19">
        <v>256.14</v>
      </c>
      <c r="D390" s="23" t="s">
        <v>74</v>
      </c>
      <c r="E390" s="17">
        <v>68.289953124696581</v>
      </c>
      <c r="F390" s="17">
        <v>0.70802560646383594</v>
      </c>
      <c r="G390" s="17">
        <v>14.721712942415778</v>
      </c>
      <c r="H390" s="17">
        <v>4.3711316328250174</v>
      </c>
      <c r="I390" s="17">
        <v>9.7560075257214288E-2</v>
      </c>
      <c r="J390" s="17">
        <v>1.1639278250207648</v>
      </c>
      <c r="K390" s="17">
        <v>3.5620423608102345</v>
      </c>
      <c r="L390" s="17">
        <v>4.3382783284094497</v>
      </c>
      <c r="M390" s="17">
        <v>2.4433310906879626</v>
      </c>
      <c r="N390" s="17">
        <v>0.16640027196601376</v>
      </c>
      <c r="O390" s="17">
        <v>0.17769469964978407</v>
      </c>
      <c r="P390" s="17">
        <v>100</v>
      </c>
      <c r="Q390" s="17">
        <v>3.7844120635211169</v>
      </c>
    </row>
    <row r="391" spans="1:27" x14ac:dyDescent="0.2">
      <c r="A391" s="5"/>
      <c r="D391" s="30" t="s">
        <v>20</v>
      </c>
      <c r="E391" s="16">
        <f>AVERAGE(E390:E390)</f>
        <v>68.289953124696581</v>
      </c>
      <c r="F391" s="16">
        <f t="shared" ref="F391:Q391" si="54">AVERAGE(F384:F390)</f>
        <v>0.23627283239442201</v>
      </c>
      <c r="G391" s="16">
        <f t="shared" si="54"/>
        <v>10.161452407659059</v>
      </c>
      <c r="H391" s="16">
        <f t="shared" si="54"/>
        <v>1.5267537542535254</v>
      </c>
      <c r="I391" s="16">
        <f t="shared" si="54"/>
        <v>4.4967651197577764E-2</v>
      </c>
      <c r="J391" s="16">
        <f t="shared" si="54"/>
        <v>0.30111803354244071</v>
      </c>
      <c r="K391" s="16">
        <f t="shared" si="54"/>
        <v>1.148818468112361</v>
      </c>
      <c r="L391" s="16">
        <f t="shared" si="54"/>
        <v>3.432558973164304</v>
      </c>
      <c r="M391" s="16">
        <f t="shared" si="54"/>
        <v>2.3628307308880521</v>
      </c>
      <c r="N391" s="16">
        <f t="shared" si="54"/>
        <v>4.9809752289099216E-2</v>
      </c>
      <c r="O391" s="16">
        <f t="shared" si="54"/>
        <v>0.15678909633064286</v>
      </c>
      <c r="P391" s="16">
        <f t="shared" si="54"/>
        <v>80</v>
      </c>
      <c r="Q391" s="16">
        <f t="shared" si="54"/>
        <v>1.6247708535106207</v>
      </c>
    </row>
    <row r="392" spans="1:27" x14ac:dyDescent="0.2">
      <c r="B392" s="5"/>
      <c r="C392" s="5"/>
      <c r="D392" s="30" t="s">
        <v>61</v>
      </c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</row>
    <row r="393" spans="1:27" x14ac:dyDescent="0.2">
      <c r="B393" s="5"/>
      <c r="C393" s="5"/>
      <c r="D393" s="28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spans="1:27" x14ac:dyDescent="0.2">
      <c r="A394" s="1" t="s">
        <v>71</v>
      </c>
      <c r="B394" s="19">
        <v>256.14</v>
      </c>
      <c r="C394" s="19">
        <v>256.14999999999998</v>
      </c>
      <c r="D394" s="23" t="s">
        <v>264</v>
      </c>
      <c r="E394" s="17">
        <v>78.238488804268215</v>
      </c>
      <c r="F394" s="17">
        <v>0.16765803566062973</v>
      </c>
      <c r="G394" s="17">
        <v>12.067198448305042</v>
      </c>
      <c r="H394" s="17">
        <v>1.1812559262001376</v>
      </c>
      <c r="I394" s="17">
        <v>8.1087993764506011E-2</v>
      </c>
      <c r="J394" s="17">
        <v>0.11825154666268943</v>
      </c>
      <c r="K394" s="17">
        <v>0.72155008015256716</v>
      </c>
      <c r="L394" s="17">
        <v>4.1256449830097486</v>
      </c>
      <c r="M394" s="17">
        <v>3.1646621810223583</v>
      </c>
      <c r="N394" s="17">
        <v>0</v>
      </c>
      <c r="O394" s="17">
        <v>0.1732894002783226</v>
      </c>
      <c r="P394" s="17">
        <v>100</v>
      </c>
      <c r="Q394" s="17">
        <v>1.551393376631637</v>
      </c>
    </row>
    <row r="395" spans="1:27" x14ac:dyDescent="0.2">
      <c r="A395" s="5"/>
      <c r="C395" s="5"/>
      <c r="D395" s="30" t="s">
        <v>20</v>
      </c>
      <c r="E395" s="16">
        <f t="shared" ref="E395:Q395" si="55">AVERAGE(E394)</f>
        <v>78.238488804268215</v>
      </c>
      <c r="F395" s="16">
        <f t="shared" si="55"/>
        <v>0.16765803566062973</v>
      </c>
      <c r="G395" s="16">
        <f t="shared" si="55"/>
        <v>12.067198448305042</v>
      </c>
      <c r="H395" s="16">
        <f t="shared" si="55"/>
        <v>1.1812559262001376</v>
      </c>
      <c r="I395" s="16">
        <f t="shared" si="55"/>
        <v>8.1087993764506011E-2</v>
      </c>
      <c r="J395" s="16">
        <f t="shared" si="55"/>
        <v>0.11825154666268943</v>
      </c>
      <c r="K395" s="16">
        <f t="shared" si="55"/>
        <v>0.72155008015256716</v>
      </c>
      <c r="L395" s="16">
        <f t="shared" si="55"/>
        <v>4.1256449830097486</v>
      </c>
      <c r="M395" s="16">
        <f t="shared" si="55"/>
        <v>3.1646621810223583</v>
      </c>
      <c r="N395" s="16">
        <f t="shared" si="55"/>
        <v>0</v>
      </c>
      <c r="O395" s="16">
        <f t="shared" si="55"/>
        <v>0.1732894002783226</v>
      </c>
      <c r="P395" s="16">
        <f t="shared" si="55"/>
        <v>100</v>
      </c>
      <c r="Q395" s="16">
        <f t="shared" si="55"/>
        <v>1.551393376631637</v>
      </c>
    </row>
    <row r="396" spans="1:27" x14ac:dyDescent="0.2">
      <c r="B396" s="5"/>
      <c r="C396" s="5"/>
      <c r="D396" s="30" t="s">
        <v>61</v>
      </c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</row>
    <row r="397" spans="1:27" x14ac:dyDescent="0.2">
      <c r="B397" s="5"/>
      <c r="C397" s="5"/>
      <c r="D397" s="28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spans="1:27" x14ac:dyDescent="0.2">
      <c r="A398" s="1" t="s">
        <v>71</v>
      </c>
      <c r="B398" s="19">
        <v>255.096</v>
      </c>
      <c r="C398" s="19">
        <v>255.11600000000001</v>
      </c>
      <c r="D398" s="28" t="s">
        <v>277</v>
      </c>
      <c r="E398" s="17">
        <v>68.492667023526877</v>
      </c>
      <c r="F398" s="17">
        <v>0.74619464710531269</v>
      </c>
      <c r="G398" s="17">
        <v>15.061060847432312</v>
      </c>
      <c r="H398" s="17">
        <v>4.0004422054191542</v>
      </c>
      <c r="I398" s="17">
        <v>0.2464683577122507</v>
      </c>
      <c r="J398" s="17">
        <v>1.1286632987353116</v>
      </c>
      <c r="K398" s="17">
        <v>3.424630924668906</v>
      </c>
      <c r="L398" s="17">
        <v>4.2491072508115488</v>
      </c>
      <c r="M398" s="17">
        <v>2.399224547371865</v>
      </c>
      <c r="N398" s="17">
        <v>0.10919036686619231</v>
      </c>
      <c r="O398" s="17">
        <v>0.18382192628065661</v>
      </c>
      <c r="P398" s="17">
        <v>100</v>
      </c>
      <c r="Q398" s="17">
        <v>3.2634443572838734</v>
      </c>
    </row>
    <row r="399" spans="1:27" x14ac:dyDescent="0.2">
      <c r="B399" s="5"/>
      <c r="C399" s="5"/>
      <c r="D399" s="28" t="s">
        <v>278</v>
      </c>
      <c r="E399" s="17">
        <v>70.105967246978196</v>
      </c>
      <c r="F399" s="17">
        <v>0.5640044616847022</v>
      </c>
      <c r="G399" s="17">
        <v>15.118765710646084</v>
      </c>
      <c r="H399" s="17">
        <v>2.9761545047728424</v>
      </c>
      <c r="I399" s="17">
        <v>6.7488031883297217E-2</v>
      </c>
      <c r="J399" s="17">
        <v>0.79219504394936968</v>
      </c>
      <c r="K399" s="17">
        <v>3.1856143994144706</v>
      </c>
      <c r="L399" s="17">
        <v>4.4910690002579292</v>
      </c>
      <c r="M399" s="17">
        <v>2.4279613226589269</v>
      </c>
      <c r="N399" s="17">
        <v>0.12866452389494271</v>
      </c>
      <c r="O399" s="17">
        <v>0.1835439686638036</v>
      </c>
      <c r="P399" s="17">
        <v>100</v>
      </c>
      <c r="Q399" s="17">
        <v>3.399168444064486</v>
      </c>
    </row>
    <row r="400" spans="1:27" x14ac:dyDescent="0.2">
      <c r="A400" s="5"/>
      <c r="B400" s="5"/>
      <c r="C400" s="5"/>
      <c r="D400" s="28" t="s">
        <v>279</v>
      </c>
      <c r="E400" s="17">
        <v>70.951374170430611</v>
      </c>
      <c r="F400" s="17">
        <v>0.47497828524355085</v>
      </c>
      <c r="G400" s="17">
        <v>13.642909112675314</v>
      </c>
      <c r="H400" s="17">
        <v>2.4383954481258918</v>
      </c>
      <c r="I400" s="17">
        <v>0.11238460008810423</v>
      </c>
      <c r="J400" s="17">
        <v>0.59505246127864919</v>
      </c>
      <c r="K400" s="17">
        <v>2.1530321931995342</v>
      </c>
      <c r="L400" s="17">
        <v>6.6907162252259944</v>
      </c>
      <c r="M400" s="17">
        <v>2.7189174723136866</v>
      </c>
      <c r="N400" s="17">
        <v>7.186686513013292E-2</v>
      </c>
      <c r="O400" s="17">
        <v>0.19408646720481379</v>
      </c>
      <c r="P400" s="17">
        <v>100</v>
      </c>
      <c r="Q400" s="17">
        <v>-1.8911842994765777</v>
      </c>
    </row>
    <row r="401" spans="2:17" x14ac:dyDescent="0.2">
      <c r="B401" s="5"/>
      <c r="C401" s="5"/>
      <c r="D401" s="28" t="s">
        <v>280</v>
      </c>
      <c r="E401" s="17">
        <v>73.041097128920555</v>
      </c>
      <c r="F401" s="17">
        <v>0.53542708658773464</v>
      </c>
      <c r="G401" s="17">
        <v>13.701714024891675</v>
      </c>
      <c r="H401" s="17">
        <v>2.4224076296735269</v>
      </c>
      <c r="I401" s="17">
        <v>0</v>
      </c>
      <c r="J401" s="17">
        <v>0.63487132137481483</v>
      </c>
      <c r="K401" s="17">
        <v>2.2025086146516855</v>
      </c>
      <c r="L401" s="17">
        <v>4.2701327352461194</v>
      </c>
      <c r="M401" s="17">
        <v>2.8558060522230666</v>
      </c>
      <c r="N401" s="17">
        <v>0.20589933574119668</v>
      </c>
      <c r="O401" s="17">
        <v>0.16811243110399315</v>
      </c>
      <c r="P401" s="17">
        <v>100</v>
      </c>
      <c r="Q401" s="17">
        <v>0.24057180146481016</v>
      </c>
    </row>
    <row r="402" spans="2:17" x14ac:dyDescent="0.2">
      <c r="B402" s="5"/>
      <c r="C402" s="5"/>
      <c r="D402" s="28" t="s">
        <v>281</v>
      </c>
      <c r="E402" s="17">
        <v>76.780043305114759</v>
      </c>
      <c r="F402" s="17">
        <v>0.36329285213921048</v>
      </c>
      <c r="G402" s="17">
        <v>12.383545605657307</v>
      </c>
      <c r="H402" s="17">
        <v>1.7108937974176495</v>
      </c>
      <c r="I402" s="17">
        <v>2.9019515813037595E-2</v>
      </c>
      <c r="J402" s="17">
        <v>0.2518537559255698</v>
      </c>
      <c r="K402" s="17">
        <v>1.2073501078305744</v>
      </c>
      <c r="L402" s="17">
        <v>4.0392976387340838</v>
      </c>
      <c r="M402" s="17">
        <v>2.9919118336104731</v>
      </c>
      <c r="N402" s="17">
        <v>0.13254220079063392</v>
      </c>
      <c r="O402" s="17">
        <v>0.14215377289324818</v>
      </c>
      <c r="P402" s="17">
        <v>100</v>
      </c>
      <c r="Q402" s="17">
        <v>-0.10849315048965025</v>
      </c>
    </row>
    <row r="403" spans="2:17" x14ac:dyDescent="0.2">
      <c r="B403" s="5"/>
      <c r="C403" s="5"/>
      <c r="D403" s="28" t="s">
        <v>282</v>
      </c>
      <c r="E403" s="17">
        <v>77.043872374597015</v>
      </c>
      <c r="F403" s="17">
        <v>0.18133332295887475</v>
      </c>
      <c r="G403" s="17">
        <v>12.162745176427469</v>
      </c>
      <c r="H403" s="17">
        <v>1.0972984741665264</v>
      </c>
      <c r="I403" s="17">
        <v>4.0217207991173384E-2</v>
      </c>
      <c r="J403" s="17">
        <v>0.10689856862783399</v>
      </c>
      <c r="K403" s="17">
        <v>0.72926090029498791</v>
      </c>
      <c r="L403" s="17">
        <v>5.3404699581593063</v>
      </c>
      <c r="M403" s="17">
        <v>3.0902676788968035</v>
      </c>
      <c r="N403" s="17">
        <v>3.648039450593088E-2</v>
      </c>
      <c r="O403" s="17">
        <v>0.22125593560121154</v>
      </c>
      <c r="P403" s="17">
        <v>100</v>
      </c>
      <c r="Q403" s="17">
        <v>-1.1557043167408096</v>
      </c>
    </row>
    <row r="404" spans="2:17" x14ac:dyDescent="0.2">
      <c r="B404" s="5"/>
      <c r="C404" s="5"/>
      <c r="D404" s="28" t="s">
        <v>283</v>
      </c>
      <c r="E404" s="17">
        <v>77.531674814808895</v>
      </c>
      <c r="F404" s="17">
        <v>0.14861295757874879</v>
      </c>
      <c r="G404" s="17">
        <v>12.248008697851708</v>
      </c>
      <c r="H404" s="17">
        <v>1.2370792880989114</v>
      </c>
      <c r="I404" s="17">
        <v>9.6053812701057839E-2</v>
      </c>
      <c r="J404" s="17">
        <v>0.11789228211290079</v>
      </c>
      <c r="K404" s="17">
        <v>0.69328277204838551</v>
      </c>
      <c r="L404" s="17">
        <v>4.6597180635939051</v>
      </c>
      <c r="M404" s="17">
        <v>3.1253677254729411</v>
      </c>
      <c r="N404" s="17">
        <v>0</v>
      </c>
      <c r="O404" s="17">
        <v>0.18345776479906664</v>
      </c>
      <c r="P404" s="17">
        <v>100</v>
      </c>
      <c r="Q404" s="17">
        <v>0.14867988791066011</v>
      </c>
    </row>
    <row r="405" spans="2:17" x14ac:dyDescent="0.2">
      <c r="B405" s="5"/>
      <c r="C405" s="5"/>
      <c r="D405" s="28" t="s">
        <v>284</v>
      </c>
      <c r="E405" s="17">
        <v>77.598071138585169</v>
      </c>
      <c r="F405" s="17">
        <v>0.22185267156925775</v>
      </c>
      <c r="G405" s="17">
        <v>12.229940612512713</v>
      </c>
      <c r="H405" s="17">
        <v>1.1551584750039874</v>
      </c>
      <c r="I405" s="17">
        <v>0</v>
      </c>
      <c r="J405" s="17">
        <v>0.1070128221617366</v>
      </c>
      <c r="K405" s="17">
        <v>0.6753210843241908</v>
      </c>
      <c r="L405" s="17">
        <v>4.7238524428970345</v>
      </c>
      <c r="M405" s="17">
        <v>3.1516419560128983</v>
      </c>
      <c r="N405" s="17">
        <v>0</v>
      </c>
      <c r="O405" s="17">
        <v>0.17703571579436986</v>
      </c>
      <c r="P405" s="17">
        <v>100</v>
      </c>
      <c r="Q405" s="17">
        <v>1.035223760440843</v>
      </c>
    </row>
    <row r="406" spans="2:17" x14ac:dyDescent="0.2">
      <c r="B406" s="5"/>
      <c r="C406" s="5"/>
      <c r="D406" s="28" t="s">
        <v>285</v>
      </c>
      <c r="E406" s="17">
        <v>77.837316314671313</v>
      </c>
      <c r="F406" s="17">
        <v>0.13110662770697001</v>
      </c>
      <c r="G406" s="17">
        <v>12.204645737225613</v>
      </c>
      <c r="H406" s="17">
        <v>1.0953309697304159</v>
      </c>
      <c r="I406" s="17">
        <v>7.9133310825021105E-2</v>
      </c>
      <c r="J406" s="17">
        <v>9.7219510218537558E-2</v>
      </c>
      <c r="K406" s="17">
        <v>0.69515227224407894</v>
      </c>
      <c r="L406" s="17">
        <v>4.4939046777305336</v>
      </c>
      <c r="M406" s="17">
        <v>3.2153788466010886</v>
      </c>
      <c r="N406" s="17">
        <v>0</v>
      </c>
      <c r="O406" s="17">
        <v>0.1948103291402706</v>
      </c>
      <c r="P406" s="17">
        <v>100</v>
      </c>
      <c r="Q406" s="17">
        <v>-0.99413150641254333</v>
      </c>
    </row>
    <row r="407" spans="2:17" x14ac:dyDescent="0.2">
      <c r="B407" s="5"/>
      <c r="C407" s="5"/>
      <c r="D407" s="28" t="s">
        <v>286</v>
      </c>
      <c r="E407" s="17">
        <v>77.839358974175582</v>
      </c>
      <c r="F407" s="17">
        <v>0.18163392000551676</v>
      </c>
      <c r="G407" s="17">
        <v>12.14377787143661</v>
      </c>
      <c r="H407" s="17">
        <v>1.0949432621130555</v>
      </c>
      <c r="I407" s="17">
        <v>2.7649890242749955E-2</v>
      </c>
      <c r="J407" s="17">
        <v>9.9215843169837212E-2</v>
      </c>
      <c r="K407" s="17">
        <v>0.71545229775342989</v>
      </c>
      <c r="L407" s="17">
        <v>4.552255744781684</v>
      </c>
      <c r="M407" s="17">
        <v>3.1705144667780272</v>
      </c>
      <c r="N407" s="17">
        <v>2.5878911719290569E-2</v>
      </c>
      <c r="O407" s="17">
        <v>0.19249104950631774</v>
      </c>
      <c r="P407" s="17">
        <v>100</v>
      </c>
      <c r="Q407" s="17">
        <v>0.11171922376094301</v>
      </c>
    </row>
    <row r="408" spans="2:17" x14ac:dyDescent="0.2">
      <c r="B408" s="5"/>
      <c r="C408" s="5"/>
      <c r="D408" s="28" t="s">
        <v>287</v>
      </c>
      <c r="E408" s="17">
        <v>77.848809727859305</v>
      </c>
      <c r="F408" s="17">
        <v>0.12648192308494602</v>
      </c>
      <c r="G408" s="17">
        <v>12.019280398097816</v>
      </c>
      <c r="H408" s="17">
        <v>1.1640028648672409</v>
      </c>
      <c r="I408" s="17">
        <v>4.9836268238614076E-2</v>
      </c>
      <c r="J408" s="17">
        <v>0.10509009227203053</v>
      </c>
      <c r="K408" s="17">
        <v>0.67584185057058666</v>
      </c>
      <c r="L408" s="17">
        <v>4.6427575620301811</v>
      </c>
      <c r="M408" s="17">
        <v>3.1979226173328601</v>
      </c>
      <c r="N408" s="17">
        <v>4.097108524093801E-2</v>
      </c>
      <c r="O408" s="17">
        <v>0.166533103115521</v>
      </c>
      <c r="P408" s="17">
        <v>100</v>
      </c>
      <c r="Q408" s="17">
        <v>0.85935053676881523</v>
      </c>
    </row>
    <row r="409" spans="2:17" x14ac:dyDescent="0.2">
      <c r="B409" s="5"/>
      <c r="C409" s="5"/>
      <c r="D409" s="28" t="s">
        <v>288</v>
      </c>
      <c r="E409" s="17">
        <v>77.890612328480472</v>
      </c>
      <c r="F409" s="17">
        <v>0.20344383350612316</v>
      </c>
      <c r="G409" s="17">
        <v>11.937932493658412</v>
      </c>
      <c r="H409" s="17">
        <v>1.2799425299839227</v>
      </c>
      <c r="I409" s="17">
        <v>5.3694964786470373E-2</v>
      </c>
      <c r="J409" s="17">
        <v>0.11642936816163982</v>
      </c>
      <c r="K409" s="17">
        <v>0.66060956751216315</v>
      </c>
      <c r="L409" s="17">
        <v>4.7530257552154138</v>
      </c>
      <c r="M409" s="17">
        <v>2.9154593463844769</v>
      </c>
      <c r="N409" s="17">
        <v>0</v>
      </c>
      <c r="O409" s="17">
        <v>0.24405384865833851</v>
      </c>
      <c r="P409" s="17">
        <v>100</v>
      </c>
      <c r="Q409" s="17">
        <v>-6.1523857331877707E-2</v>
      </c>
    </row>
    <row r="410" spans="2:17" x14ac:dyDescent="0.2">
      <c r="B410" s="5"/>
      <c r="C410" s="5"/>
      <c r="D410" s="28" t="s">
        <v>289</v>
      </c>
      <c r="E410" s="17">
        <v>77.9455142751642</v>
      </c>
      <c r="F410" s="17">
        <v>0.16367683562515339</v>
      </c>
      <c r="G410" s="17">
        <v>12.317958794321999</v>
      </c>
      <c r="H410" s="17">
        <v>1.1001398617704874</v>
      </c>
      <c r="I410" s="17">
        <v>7.6951349296089794E-2</v>
      </c>
      <c r="J410" s="17">
        <v>0.12841341952468899</v>
      </c>
      <c r="K410" s="17">
        <v>0.69295474749289054</v>
      </c>
      <c r="L410" s="17">
        <v>4.1560661623875488</v>
      </c>
      <c r="M410" s="17">
        <v>3.230382204837273</v>
      </c>
      <c r="N410" s="17">
        <v>0</v>
      </c>
      <c r="O410" s="17">
        <v>0.24286492785019131</v>
      </c>
      <c r="P410" s="17">
        <v>100</v>
      </c>
      <c r="Q410" s="17">
        <v>-0.10090882696732706</v>
      </c>
    </row>
    <row r="411" spans="2:17" x14ac:dyDescent="0.2">
      <c r="B411" s="5"/>
      <c r="C411" s="5"/>
      <c r="D411" s="28" t="s">
        <v>290</v>
      </c>
      <c r="E411" s="17">
        <v>78.076167471850326</v>
      </c>
      <c r="F411" s="17">
        <v>0.12671451547307053</v>
      </c>
      <c r="G411" s="17">
        <v>12.152482444147223</v>
      </c>
      <c r="H411" s="17">
        <v>1.1149320659832684</v>
      </c>
      <c r="I411" s="17">
        <v>0</v>
      </c>
      <c r="J411" s="17">
        <v>0.11267387393566915</v>
      </c>
      <c r="K411" s="17">
        <v>0.74757369121020889</v>
      </c>
      <c r="L411" s="17">
        <v>4.247309227743763</v>
      </c>
      <c r="M411" s="17">
        <v>3.2323028820672119</v>
      </c>
      <c r="N411" s="17">
        <v>2.6116199766760401E-2</v>
      </c>
      <c r="O411" s="17">
        <v>0.21133439915765975</v>
      </c>
      <c r="P411" s="17">
        <v>100</v>
      </c>
      <c r="Q411" s="17">
        <v>1.0728963986446018</v>
      </c>
    </row>
    <row r="412" spans="2:17" x14ac:dyDescent="0.2">
      <c r="B412" s="5"/>
      <c r="C412" s="5"/>
      <c r="D412" s="28" t="s">
        <v>291</v>
      </c>
      <c r="E412" s="17">
        <v>78.085359887828517</v>
      </c>
      <c r="F412" s="17">
        <v>0.13697470731608383</v>
      </c>
      <c r="G412" s="17">
        <v>12.066932913350378</v>
      </c>
      <c r="H412" s="17">
        <v>1.1330491106121265</v>
      </c>
      <c r="I412" s="17">
        <v>0</v>
      </c>
      <c r="J412" s="17">
        <v>0.10112628152748947</v>
      </c>
      <c r="K412" s="17">
        <v>0.7162649954337631</v>
      </c>
      <c r="L412" s="17">
        <v>4.3445441844991395</v>
      </c>
      <c r="M412" s="17">
        <v>3.1715701607639022</v>
      </c>
      <c r="N412" s="17">
        <v>0.10751015152864424</v>
      </c>
      <c r="O412" s="17">
        <v>0.17716267938435015</v>
      </c>
      <c r="P412" s="17">
        <v>100</v>
      </c>
      <c r="Q412" s="17">
        <v>0.35824666151793849</v>
      </c>
    </row>
    <row r="413" spans="2:17" x14ac:dyDescent="0.2">
      <c r="B413" s="5"/>
      <c r="C413" s="5"/>
      <c r="D413" s="28" t="s">
        <v>292</v>
      </c>
      <c r="E413" s="17">
        <v>78.126654138655724</v>
      </c>
      <c r="F413" s="17">
        <v>0.15089812136317104</v>
      </c>
      <c r="G413" s="17">
        <v>12.308863431388799</v>
      </c>
      <c r="H413" s="17">
        <v>1.2062247525168515</v>
      </c>
      <c r="I413" s="17">
        <v>7.4965479623319092E-2</v>
      </c>
      <c r="J413" s="17">
        <v>0.10110960756520573</v>
      </c>
      <c r="K413" s="17">
        <v>0.67672581284088906</v>
      </c>
      <c r="L413" s="17">
        <v>4.0390971497045163</v>
      </c>
      <c r="M413" s="17">
        <v>3.1593397175879301</v>
      </c>
      <c r="N413" s="17">
        <v>3.6652964313731631E-3</v>
      </c>
      <c r="O413" s="17">
        <v>0.19748458458455376</v>
      </c>
      <c r="P413" s="17">
        <v>100</v>
      </c>
      <c r="Q413" s="17">
        <v>-0.81040017316441038</v>
      </c>
    </row>
    <row r="414" spans="2:17" x14ac:dyDescent="0.2">
      <c r="B414" s="5"/>
      <c r="C414" s="5"/>
      <c r="D414" s="28" t="s">
        <v>293</v>
      </c>
      <c r="E414" s="17">
        <v>78.141525466732602</v>
      </c>
      <c r="F414" s="17">
        <v>0.17509868726231478</v>
      </c>
      <c r="G414" s="17">
        <v>12.193831451839763</v>
      </c>
      <c r="H414" s="17">
        <v>1.0786075091275509</v>
      </c>
      <c r="I414" s="17">
        <v>0</v>
      </c>
      <c r="J414" s="17">
        <v>0.12084933475280911</v>
      </c>
      <c r="K414" s="17">
        <v>0.73546503754025272</v>
      </c>
      <c r="L414" s="17">
        <v>4.252393802025443</v>
      </c>
      <c r="M414" s="17">
        <v>3.0542556463112218</v>
      </c>
      <c r="N414" s="17">
        <v>0.10085943207626608</v>
      </c>
      <c r="O414" s="17">
        <v>0.1899283399256535</v>
      </c>
      <c r="P414" s="17">
        <v>100</v>
      </c>
      <c r="Q414" s="17">
        <v>1.0900637190131448</v>
      </c>
    </row>
    <row r="415" spans="2:17" x14ac:dyDescent="0.2">
      <c r="B415" s="5"/>
      <c r="C415" s="5"/>
      <c r="D415" s="28" t="s">
        <v>294</v>
      </c>
      <c r="E415" s="17">
        <v>78.267373088511405</v>
      </c>
      <c r="F415" s="17">
        <v>0.1100961975876186</v>
      </c>
      <c r="G415" s="17">
        <v>12.033529102574331</v>
      </c>
      <c r="H415" s="17">
        <v>1.1641151335710187</v>
      </c>
      <c r="I415" s="17">
        <v>0.11580500891838991</v>
      </c>
      <c r="J415" s="17">
        <v>0.10324602765421295</v>
      </c>
      <c r="K415" s="17">
        <v>0.68403911846350585</v>
      </c>
      <c r="L415" s="17">
        <v>4.3306233409873727</v>
      </c>
      <c r="M415" s="17">
        <v>3.0545137062147787</v>
      </c>
      <c r="N415" s="17">
        <v>1.118652529637618E-2</v>
      </c>
      <c r="O415" s="17">
        <v>0.16206989409767414</v>
      </c>
      <c r="P415" s="17">
        <v>100</v>
      </c>
      <c r="Q415" s="17">
        <v>0.90756775393936095</v>
      </c>
    </row>
    <row r="416" spans="2:17" x14ac:dyDescent="0.2">
      <c r="B416" s="5"/>
      <c r="C416" s="5"/>
      <c r="D416" s="28" t="s">
        <v>295</v>
      </c>
      <c r="E416" s="17">
        <v>78.271470073918351</v>
      </c>
      <c r="F416" s="17">
        <v>0.10264685450416233</v>
      </c>
      <c r="G416" s="17">
        <v>12.138549397429605</v>
      </c>
      <c r="H416" s="17">
        <v>1.1349042868011787</v>
      </c>
      <c r="I416" s="17">
        <v>0</v>
      </c>
      <c r="J416" s="17">
        <v>9.7199854492598381E-2</v>
      </c>
      <c r="K416" s="17">
        <v>0.72050265770440802</v>
      </c>
      <c r="L416" s="17">
        <v>4.2610950229326132</v>
      </c>
      <c r="M416" s="17">
        <v>3.102695289921221</v>
      </c>
      <c r="N416" s="17">
        <v>2.2363863220964827E-2</v>
      </c>
      <c r="O416" s="17">
        <v>0.19179168416943959</v>
      </c>
      <c r="P416" s="17">
        <v>100</v>
      </c>
      <c r="Q416" s="17">
        <v>0.84450177099893153</v>
      </c>
    </row>
    <row r="417" spans="2:17" x14ac:dyDescent="0.2">
      <c r="B417" s="5"/>
      <c r="C417" s="5"/>
      <c r="D417" s="28" t="s">
        <v>296</v>
      </c>
      <c r="E417" s="17">
        <v>78.283560364200525</v>
      </c>
      <c r="F417" s="17">
        <v>0.19024859915293169</v>
      </c>
      <c r="G417" s="17">
        <v>12.11526404520181</v>
      </c>
      <c r="H417" s="17">
        <v>1.1493947334556882</v>
      </c>
      <c r="I417" s="17">
        <v>7.8957966048673653E-2</v>
      </c>
      <c r="J417" s="17">
        <v>0.10773230984798524</v>
      </c>
      <c r="K417" s="17">
        <v>0.74758480815048156</v>
      </c>
      <c r="L417" s="17">
        <v>3.6475126588635893</v>
      </c>
      <c r="M417" s="17">
        <v>3.4893380140737249</v>
      </c>
      <c r="N417" s="17">
        <v>2.9698622790977677E-2</v>
      </c>
      <c r="O417" s="17">
        <v>0.20808245669398001</v>
      </c>
      <c r="P417" s="17">
        <v>100</v>
      </c>
      <c r="Q417" s="17">
        <v>0.57114699281345338</v>
      </c>
    </row>
    <row r="418" spans="2:17" x14ac:dyDescent="0.2">
      <c r="B418" s="5"/>
      <c r="C418" s="5"/>
      <c r="D418" s="30" t="s">
        <v>20</v>
      </c>
      <c r="E418" s="16">
        <f t="shared" ref="E418:Q418" si="56">AVERAGE(E398:E417)</f>
        <v>76.40792446575054</v>
      </c>
      <c r="F418" s="16">
        <f t="shared" si="56"/>
        <v>0.25173585537277265</v>
      </c>
      <c r="G418" s="16">
        <f t="shared" si="56"/>
        <v>12.609086893438347</v>
      </c>
      <c r="H418" s="16">
        <f t="shared" si="56"/>
        <v>1.5376708451605647</v>
      </c>
      <c r="I418" s="16">
        <f>AVERAGE(I398:I417)</f>
        <v>5.7431288208412458E-2</v>
      </c>
      <c r="J418" s="16">
        <f t="shared" si="56"/>
        <v>0.2512372538644444</v>
      </c>
      <c r="K418" s="16">
        <f t="shared" si="56"/>
        <v>1.1369583926674698</v>
      </c>
      <c r="L418" s="16">
        <f t="shared" si="56"/>
        <v>4.509247430191385</v>
      </c>
      <c r="M418" s="16">
        <f t="shared" si="56"/>
        <v>3.0377385743717182</v>
      </c>
      <c r="N418" s="16">
        <f t="shared" si="56"/>
        <v>5.2644688750031018E-2</v>
      </c>
      <c r="O418" s="16">
        <f t="shared" si="56"/>
        <v>0.19160376393125567</v>
      </c>
      <c r="P418" s="16">
        <f t="shared" si="56"/>
        <v>100</v>
      </c>
      <c r="Q418" s="16">
        <f t="shared" si="56"/>
        <v>0.43901175890193328</v>
      </c>
    </row>
    <row r="419" spans="2:17" x14ac:dyDescent="0.2">
      <c r="B419" s="5"/>
      <c r="C419" s="5"/>
      <c r="D419" s="30" t="s">
        <v>61</v>
      </c>
      <c r="E419" s="16">
        <f t="shared" ref="E419:Q419" si="57">STDEV(E398:E417)</f>
        <v>3.0730839171648614</v>
      </c>
      <c r="F419" s="16">
        <f t="shared" si="57"/>
        <v>0.18315949465692644</v>
      </c>
      <c r="G419" s="16">
        <f t="shared" si="57"/>
        <v>0.97122248925510202</v>
      </c>
      <c r="H419" s="16">
        <f t="shared" si="57"/>
        <v>0.79782104209355031</v>
      </c>
      <c r="I419" s="16">
        <f t="shared" si="57"/>
        <v>5.9484766673588277E-2</v>
      </c>
      <c r="J419" s="16">
        <f t="shared" si="57"/>
        <v>0.29345996301298366</v>
      </c>
      <c r="K419" s="16">
        <f t="shared" si="57"/>
        <v>0.87119708601779033</v>
      </c>
      <c r="L419" s="16">
        <f t="shared" si="57"/>
        <v>0.61931063254627405</v>
      </c>
      <c r="M419" s="16">
        <f t="shared" si="57"/>
        <v>0.26615823360511259</v>
      </c>
      <c r="N419" s="16">
        <f t="shared" si="57"/>
        <v>5.8843079733554404E-2</v>
      </c>
      <c r="O419" s="16">
        <f t="shared" si="57"/>
        <v>2.5219096590927796E-2</v>
      </c>
      <c r="P419" s="16">
        <f t="shared" si="57"/>
        <v>0</v>
      </c>
      <c r="Q419" s="16">
        <f t="shared" si="57"/>
        <v>1.2807521337908254</v>
      </c>
    </row>
    <row r="420" spans="2:17" x14ac:dyDescent="0.2">
      <c r="B420" s="5"/>
      <c r="C420" s="5"/>
      <c r="D420" s="28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spans="2:17" x14ac:dyDescent="0.2">
      <c r="B421" s="5"/>
      <c r="C421" s="5"/>
      <c r="D421" s="28" t="s">
        <v>39</v>
      </c>
      <c r="E421" s="8">
        <v>74.823800000000006</v>
      </c>
      <c r="F421" s="8">
        <v>6.2121999999999997E-2</v>
      </c>
      <c r="G421" s="8">
        <v>13.0664</v>
      </c>
      <c r="H421" s="8">
        <v>1.7222299999999999</v>
      </c>
      <c r="I421" s="8">
        <v>0.10019699999999999</v>
      </c>
      <c r="J421" s="8">
        <v>4.9985000000000002E-2</v>
      </c>
      <c r="K421" s="8">
        <v>0.75983299999999998</v>
      </c>
      <c r="L421" s="8">
        <v>4.1426299999999996</v>
      </c>
      <c r="M421" s="8">
        <v>5.3839899999999998</v>
      </c>
      <c r="N421" s="8">
        <v>0</v>
      </c>
      <c r="O421" s="8">
        <v>0.34845100000000001</v>
      </c>
      <c r="P421" s="8">
        <v>100.381</v>
      </c>
      <c r="Q421" s="8">
        <f>100-P421</f>
        <v>-0.38100000000000023</v>
      </c>
    </row>
    <row r="422" spans="2:17" x14ac:dyDescent="0.2">
      <c r="B422" s="5"/>
      <c r="C422" s="5"/>
      <c r="D422" s="28" t="s">
        <v>45</v>
      </c>
      <c r="E422" s="8">
        <v>75.228999999999999</v>
      </c>
      <c r="F422" s="8">
        <v>0.110571</v>
      </c>
      <c r="G422" s="8">
        <v>13.2744</v>
      </c>
      <c r="H422" s="8">
        <v>1.7292700000000001</v>
      </c>
      <c r="I422" s="8">
        <v>1.1620999999999999E-2</v>
      </c>
      <c r="J422" s="8">
        <v>5.2373000000000003E-2</v>
      </c>
      <c r="K422" s="8">
        <v>0.71665199999999996</v>
      </c>
      <c r="L422" s="8">
        <v>3.8180700000000001</v>
      </c>
      <c r="M422" s="8">
        <v>5.3733500000000003</v>
      </c>
      <c r="N422" s="8">
        <v>4.7668000000000002E-2</v>
      </c>
      <c r="O422" s="8">
        <v>0.31829000000000002</v>
      </c>
      <c r="P422" s="8">
        <v>100.61</v>
      </c>
      <c r="Q422" s="8">
        <f>100-P422</f>
        <v>-0.60999999999999943</v>
      </c>
    </row>
    <row r="423" spans="2:17" x14ac:dyDescent="0.2">
      <c r="B423" s="5"/>
      <c r="C423" s="5"/>
      <c r="D423" s="28" t="s">
        <v>46</v>
      </c>
      <c r="E423" s="8">
        <v>75.285399999999996</v>
      </c>
      <c r="F423" s="8">
        <v>5.2497000000000002E-2</v>
      </c>
      <c r="G423" s="8">
        <v>13.2493</v>
      </c>
      <c r="H423" s="8">
        <v>1.6054900000000001</v>
      </c>
      <c r="I423" s="8">
        <v>0</v>
      </c>
      <c r="J423" s="8">
        <v>4.2897999999999999E-2</v>
      </c>
      <c r="K423" s="8">
        <v>0.76235799999999998</v>
      </c>
      <c r="L423" s="8">
        <v>4.4486100000000004</v>
      </c>
      <c r="M423" s="8">
        <v>5.4958499999999999</v>
      </c>
      <c r="N423" s="8">
        <v>1.8324E-2</v>
      </c>
      <c r="O423" s="8">
        <v>0.32825700000000002</v>
      </c>
      <c r="P423" s="8">
        <v>101.215</v>
      </c>
      <c r="Q423" s="8">
        <f>100-P423</f>
        <v>-1.2150000000000034</v>
      </c>
    </row>
    <row r="424" spans="2:17" x14ac:dyDescent="0.2">
      <c r="B424" s="5"/>
      <c r="C424" s="5"/>
      <c r="D424" s="28" t="s">
        <v>47</v>
      </c>
      <c r="E424" s="8">
        <v>75.516099999999994</v>
      </c>
      <c r="F424" s="8">
        <v>9.4832E-2</v>
      </c>
      <c r="G424" s="8">
        <v>13.119</v>
      </c>
      <c r="H424" s="8">
        <v>1.6141099999999999</v>
      </c>
      <c r="I424" s="8">
        <v>0.200403</v>
      </c>
      <c r="J424" s="8">
        <v>3.8212999999999997E-2</v>
      </c>
      <c r="K424" s="8">
        <v>0.68576700000000002</v>
      </c>
      <c r="L424" s="8">
        <v>3.8852199999999999</v>
      </c>
      <c r="M424" s="8">
        <v>5.3332600000000001</v>
      </c>
      <c r="N424" s="8">
        <v>0</v>
      </c>
      <c r="O424" s="8">
        <v>0.35419600000000001</v>
      </c>
      <c r="P424" s="8">
        <v>100.761</v>
      </c>
      <c r="Q424" s="8">
        <f>100-P424</f>
        <v>-0.76099999999999568</v>
      </c>
    </row>
    <row r="425" spans="2:17" x14ac:dyDescent="0.2">
      <c r="B425" s="5"/>
      <c r="C425" s="5"/>
      <c r="D425" s="37" t="s">
        <v>20</v>
      </c>
      <c r="E425" s="16">
        <f t="shared" ref="E425:Q425" si="58">AVERAGE(E421:E424)</f>
        <v>75.213574999999992</v>
      </c>
      <c r="F425" s="16">
        <f t="shared" si="58"/>
        <v>8.0005500000000007E-2</v>
      </c>
      <c r="G425" s="16">
        <f t="shared" si="58"/>
        <v>13.177275</v>
      </c>
      <c r="H425" s="16">
        <f t="shared" si="58"/>
        <v>1.6677750000000002</v>
      </c>
      <c r="I425" s="16">
        <f>AVERAGE(I421:I424)</f>
        <v>7.8055249999999993E-2</v>
      </c>
      <c r="J425" s="16">
        <f t="shared" si="58"/>
        <v>4.5867249999999998E-2</v>
      </c>
      <c r="K425" s="16">
        <f t="shared" si="58"/>
        <v>0.73115249999999987</v>
      </c>
      <c r="L425" s="16">
        <f t="shared" si="58"/>
        <v>4.0736324999999995</v>
      </c>
      <c r="M425" s="16">
        <f t="shared" si="58"/>
        <v>5.3966124999999998</v>
      </c>
      <c r="N425" s="16">
        <f t="shared" si="58"/>
        <v>1.6497999999999999E-2</v>
      </c>
      <c r="O425" s="16">
        <f t="shared" si="58"/>
        <v>0.3372985</v>
      </c>
      <c r="P425" s="16">
        <f t="shared" si="58"/>
        <v>100.74175</v>
      </c>
      <c r="Q425" s="16">
        <f t="shared" si="58"/>
        <v>-0.74174999999999969</v>
      </c>
    </row>
    <row r="426" spans="2:17" x14ac:dyDescent="0.2">
      <c r="B426" s="5"/>
      <c r="C426" s="5"/>
      <c r="D426" s="37" t="s">
        <v>61</v>
      </c>
      <c r="E426" s="16">
        <f t="shared" ref="E426:Q426" si="59">STDEV(E421:E424)</f>
        <v>0.28800618482941853</v>
      </c>
      <c r="F426" s="16">
        <f t="shared" si="59"/>
        <v>2.7267881209706493E-2</v>
      </c>
      <c r="G426" s="16">
        <f t="shared" si="59"/>
        <v>0.10051551704421902</v>
      </c>
      <c r="H426" s="16">
        <f t="shared" si="59"/>
        <v>6.709777815496823E-2</v>
      </c>
      <c r="I426" s="16">
        <f t="shared" si="59"/>
        <v>9.3032898569538294E-2</v>
      </c>
      <c r="J426" s="16">
        <f t="shared" si="59"/>
        <v>6.4983238031049231E-3</v>
      </c>
      <c r="K426" s="16">
        <f t="shared" si="59"/>
        <v>3.681694546899112E-2</v>
      </c>
      <c r="L426" s="16">
        <f t="shared" si="59"/>
        <v>0.28646130749486354</v>
      </c>
      <c r="M426" s="16">
        <f t="shared" si="59"/>
        <v>6.9670874055566809E-2</v>
      </c>
      <c r="N426" s="16">
        <f t="shared" si="59"/>
        <v>2.2503860291070068E-2</v>
      </c>
      <c r="O426" s="16">
        <f t="shared" si="59"/>
        <v>1.6861944895730934E-2</v>
      </c>
      <c r="P426" s="16">
        <f t="shared" si="59"/>
        <v>0.352058115467699</v>
      </c>
      <c r="Q426" s="16">
        <f t="shared" si="59"/>
        <v>0.35205811546769905</v>
      </c>
    </row>
    <row r="427" spans="2:17" x14ac:dyDescent="0.2">
      <c r="B427" s="5"/>
      <c r="C427" s="5"/>
      <c r="D427" s="23"/>
    </row>
    <row r="428" spans="2:17" x14ac:dyDescent="0.2">
      <c r="B428" s="5"/>
      <c r="C428" s="5"/>
      <c r="D428" s="28" t="s">
        <v>52</v>
      </c>
      <c r="E428" s="17">
        <v>75.085615756814903</v>
      </c>
      <c r="F428" s="17">
        <v>0.29179387045094723</v>
      </c>
      <c r="G428" s="17">
        <v>13.234066134406239</v>
      </c>
      <c r="H428" s="17">
        <v>1.7732359279296772</v>
      </c>
      <c r="I428" s="17">
        <v>0.12314422526052794</v>
      </c>
      <c r="J428" s="17">
        <v>0.32063332554115953</v>
      </c>
      <c r="K428" s="17">
        <v>1.4317954604206655</v>
      </c>
      <c r="L428" s="17">
        <v>3.7667870252806055</v>
      </c>
      <c r="M428" s="17">
        <v>3.7473291773698763</v>
      </c>
      <c r="N428" s="17">
        <v>7.2161664622940436E-2</v>
      </c>
      <c r="O428" s="17">
        <v>0.19801088033295877</v>
      </c>
      <c r="P428" s="17">
        <v>100.00034262793544</v>
      </c>
      <c r="Q428" s="17">
        <v>3.2159244594292318</v>
      </c>
    </row>
    <row r="429" spans="2:17" x14ac:dyDescent="0.2">
      <c r="B429" s="5"/>
      <c r="C429" s="5"/>
      <c r="D429" s="28" t="s">
        <v>51</v>
      </c>
      <c r="E429" s="17">
        <v>75.086240267774599</v>
      </c>
      <c r="F429" s="17">
        <v>0.28185103407772027</v>
      </c>
      <c r="G429" s="17">
        <v>13.038067226688522</v>
      </c>
      <c r="H429" s="17">
        <v>1.8242715046748947</v>
      </c>
      <c r="I429" s="17">
        <v>0.10326768601392475</v>
      </c>
      <c r="J429" s="17">
        <v>0.25550368432185366</v>
      </c>
      <c r="K429" s="17">
        <v>1.4469052767302497</v>
      </c>
      <c r="L429" s="17">
        <v>3.9899225127539566</v>
      </c>
      <c r="M429" s="17">
        <v>3.6160491517900906</v>
      </c>
      <c r="N429" s="17">
        <v>0.10975024022851466</v>
      </c>
      <c r="O429" s="17">
        <v>0.32040544334285281</v>
      </c>
      <c r="P429" s="17">
        <v>100.00055212584689</v>
      </c>
      <c r="Q429" s="17">
        <v>2.9086407664055969</v>
      </c>
    </row>
    <row r="430" spans="2:17" x14ac:dyDescent="0.2">
      <c r="B430" s="5"/>
      <c r="C430" s="5"/>
      <c r="D430" s="28" t="s">
        <v>44</v>
      </c>
      <c r="E430" s="17">
        <v>75.391246681383848</v>
      </c>
      <c r="F430" s="17">
        <v>0.31007015364724638</v>
      </c>
      <c r="G430" s="17">
        <v>13.116561784109019</v>
      </c>
      <c r="H430" s="17">
        <v>1.6542250263255849</v>
      </c>
      <c r="I430" s="17">
        <v>0.12501809030869851</v>
      </c>
      <c r="J430" s="17">
        <v>0.30237545705918656</v>
      </c>
      <c r="K430" s="17">
        <v>1.5012017229498906</v>
      </c>
      <c r="L430" s="17">
        <v>3.6011988472763719</v>
      </c>
      <c r="M430" s="17">
        <v>3.7614571500616707</v>
      </c>
      <c r="N430" s="17">
        <v>4.9514916500725037E-2</v>
      </c>
      <c r="O430" s="17">
        <v>0.24179526836367071</v>
      </c>
      <c r="P430" s="17">
        <v>100.00042214112666</v>
      </c>
      <c r="Q430" s="17">
        <v>3.5179631186483391</v>
      </c>
    </row>
    <row r="431" spans="2:17" x14ac:dyDescent="0.2">
      <c r="B431" s="5"/>
      <c r="C431" s="5"/>
      <c r="D431" s="28" t="s">
        <v>53</v>
      </c>
      <c r="E431" s="17">
        <v>75.59546282745751</v>
      </c>
      <c r="F431" s="17">
        <v>0.35177201839537942</v>
      </c>
      <c r="G431" s="17">
        <v>12.996925387123625</v>
      </c>
      <c r="H431" s="17">
        <v>1.7273033676864065</v>
      </c>
      <c r="I431" s="17">
        <v>8.4854030662351684E-2</v>
      </c>
      <c r="J431" s="17">
        <v>0.29892284252037765</v>
      </c>
      <c r="K431" s="17">
        <v>1.5226744768529272</v>
      </c>
      <c r="L431" s="17">
        <v>3.5834181991213141</v>
      </c>
      <c r="M431" s="17">
        <v>3.631046948821079</v>
      </c>
      <c r="N431" s="17">
        <v>3.8327663448856041E-2</v>
      </c>
      <c r="O431" s="17">
        <v>0.21861056233550147</v>
      </c>
      <c r="P431" s="17">
        <v>100.00037951164373</v>
      </c>
      <c r="Q431" s="17">
        <v>4.0458074125108823</v>
      </c>
    </row>
    <row r="432" spans="2:17" x14ac:dyDescent="0.2">
      <c r="B432" s="5"/>
      <c r="C432" s="5"/>
      <c r="D432" s="37" t="s">
        <v>20</v>
      </c>
      <c r="E432" s="16">
        <f t="shared" ref="E432:Q432" si="60">AVERAGE(E428:E431)</f>
        <v>75.289641383357718</v>
      </c>
      <c r="F432" s="16">
        <f t="shared" si="60"/>
        <v>0.30887176914282333</v>
      </c>
      <c r="G432" s="16">
        <f>AVERAGE(G428:G431)</f>
        <v>13.09640513308185</v>
      </c>
      <c r="H432" s="16">
        <f t="shared" si="60"/>
        <v>1.7447589566541408</v>
      </c>
      <c r="I432" s="16">
        <f t="shared" si="60"/>
        <v>0.10907100806137572</v>
      </c>
      <c r="J432" s="16">
        <f t="shared" si="60"/>
        <v>0.29435882736064434</v>
      </c>
      <c r="K432" s="16">
        <f t="shared" si="60"/>
        <v>1.4756442342384333</v>
      </c>
      <c r="L432" s="16">
        <f t="shared" si="60"/>
        <v>3.7353316461080617</v>
      </c>
      <c r="M432" s="16">
        <f t="shared" si="60"/>
        <v>3.6889706070106794</v>
      </c>
      <c r="N432" s="16">
        <f t="shared" si="60"/>
        <v>6.7438621200259036E-2</v>
      </c>
      <c r="O432" s="16">
        <f t="shared" si="60"/>
        <v>0.24470553859374594</v>
      </c>
      <c r="P432" s="16">
        <f t="shared" si="60"/>
        <v>100.00042410163817</v>
      </c>
      <c r="Q432" s="16">
        <f t="shared" si="60"/>
        <v>3.4220839392485125</v>
      </c>
    </row>
    <row r="433" spans="1:17" x14ac:dyDescent="0.2">
      <c r="B433" s="5"/>
      <c r="C433" s="5"/>
      <c r="D433" s="37" t="s">
        <v>61</v>
      </c>
      <c r="E433" s="16">
        <f t="shared" ref="E433:Q433" si="61">STDEV(E428:E431)</f>
        <v>0.2495655307161537</v>
      </c>
      <c r="F433" s="16">
        <f t="shared" si="61"/>
        <v>3.0895750832654174E-2</v>
      </c>
      <c r="G433" s="16">
        <f t="shared" si="61"/>
        <v>0.10433339676973734</v>
      </c>
      <c r="H433" s="16">
        <f t="shared" si="61"/>
        <v>7.2190196270515691E-2</v>
      </c>
      <c r="I433" s="16">
        <f t="shared" si="61"/>
        <v>1.8907718138974013E-2</v>
      </c>
      <c r="J433" s="16">
        <f t="shared" si="61"/>
        <v>2.7599323550313113E-2</v>
      </c>
      <c r="K433" s="16">
        <f t="shared" si="61"/>
        <v>4.3257645157025397E-2</v>
      </c>
      <c r="L433" s="16">
        <f t="shared" si="61"/>
        <v>0.18874608460063863</v>
      </c>
      <c r="M433" s="16">
        <f t="shared" si="61"/>
        <v>7.6010329270449692E-2</v>
      </c>
      <c r="N433" s="16">
        <f t="shared" si="61"/>
        <v>3.1523997712456321E-2</v>
      </c>
      <c r="O433" s="16">
        <f t="shared" si="61"/>
        <v>5.3542145853666664E-2</v>
      </c>
      <c r="P433" s="16">
        <f t="shared" si="61"/>
        <v>9.1324099531921274E-5</v>
      </c>
      <c r="Q433" s="16">
        <f t="shared" si="61"/>
        <v>0.48454425700831288</v>
      </c>
    </row>
    <row r="434" spans="1:17" x14ac:dyDescent="0.2">
      <c r="B434" s="5"/>
      <c r="C434" s="5"/>
      <c r="D434" s="23"/>
    </row>
    <row r="435" spans="1:17" x14ac:dyDescent="0.2">
      <c r="A435" s="1" t="s">
        <v>71</v>
      </c>
      <c r="B435" s="19">
        <v>255.11600000000001</v>
      </c>
      <c r="C435" s="19">
        <v>255.136</v>
      </c>
      <c r="D435" s="28" t="s">
        <v>265</v>
      </c>
      <c r="E435" s="17">
        <v>68.730912630135151</v>
      </c>
      <c r="F435" s="17">
        <v>0.69979345914970037</v>
      </c>
      <c r="G435" s="17">
        <v>15.099528540690271</v>
      </c>
      <c r="H435" s="17">
        <v>3.9305011398817911</v>
      </c>
      <c r="I435" s="17">
        <v>9.8011213806603562E-2</v>
      </c>
      <c r="J435" s="17">
        <v>1.2515522099488137</v>
      </c>
      <c r="K435" s="17">
        <v>3.7166992713745759</v>
      </c>
      <c r="L435" s="17">
        <v>3.8601128203519846</v>
      </c>
      <c r="M435" s="17">
        <v>2.3184064954621735</v>
      </c>
      <c r="N435" s="17">
        <v>0.16566563362853512</v>
      </c>
      <c r="O435" s="17">
        <v>0.16631324253938062</v>
      </c>
      <c r="P435" s="17">
        <v>100</v>
      </c>
      <c r="Q435" s="17">
        <v>1.0205095598317939</v>
      </c>
    </row>
    <row r="436" spans="1:17" x14ac:dyDescent="0.2">
      <c r="A436" s="5"/>
      <c r="B436" s="5"/>
      <c r="C436" s="5"/>
      <c r="D436" s="28" t="s">
        <v>266</v>
      </c>
      <c r="E436" s="17">
        <v>70.184012467415641</v>
      </c>
      <c r="F436" s="17">
        <v>0.62753551700785926</v>
      </c>
      <c r="G436" s="17">
        <v>14.643830117704452</v>
      </c>
      <c r="H436" s="17">
        <v>3.3836247833411424</v>
      </c>
      <c r="I436" s="17">
        <v>7.2512605272193525E-2</v>
      </c>
      <c r="J436" s="17">
        <v>0.9233164357856708</v>
      </c>
      <c r="K436" s="17">
        <v>3.0446770499183256</v>
      </c>
      <c r="L436" s="17">
        <v>4.478341925668718</v>
      </c>
      <c r="M436" s="17">
        <v>2.348738212108429</v>
      </c>
      <c r="N436" s="17">
        <v>0.2048262753771759</v>
      </c>
      <c r="O436" s="17">
        <v>0.1145849428795227</v>
      </c>
      <c r="P436" s="17">
        <v>100</v>
      </c>
      <c r="Q436" s="17">
        <v>4.3585900789082643E-2</v>
      </c>
    </row>
    <row r="437" spans="1:17" x14ac:dyDescent="0.2">
      <c r="B437" s="5"/>
      <c r="C437" s="5"/>
      <c r="D437" s="28" t="s">
        <v>267</v>
      </c>
      <c r="E437" s="17">
        <v>76.475547588531342</v>
      </c>
      <c r="F437" s="17">
        <v>0.14158607370923817</v>
      </c>
      <c r="G437" s="17">
        <v>11.891979188904894</v>
      </c>
      <c r="H437" s="17">
        <v>1.0679758611158112</v>
      </c>
      <c r="I437" s="17">
        <v>9.2697353624665899E-2</v>
      </c>
      <c r="J437" s="17">
        <v>0.11704801952539202</v>
      </c>
      <c r="K437" s="17">
        <v>0.68147722573066805</v>
      </c>
      <c r="L437" s="17">
        <v>6.2703945784857327</v>
      </c>
      <c r="M437" s="17">
        <v>3.0576540633261593</v>
      </c>
      <c r="N437" s="17">
        <v>3.9784200360207307E-2</v>
      </c>
      <c r="O437" s="17">
        <v>0.2117693628258516</v>
      </c>
      <c r="P437" s="17">
        <v>100</v>
      </c>
      <c r="Q437" s="17">
        <v>-1.9273973910498796</v>
      </c>
    </row>
    <row r="438" spans="1:17" x14ac:dyDescent="0.2">
      <c r="B438" s="5"/>
      <c r="C438" s="5"/>
      <c r="D438" s="28" t="s">
        <v>268</v>
      </c>
      <c r="E438" s="17">
        <v>77.842427957135868</v>
      </c>
      <c r="F438" s="17">
        <v>0.10407173666531187</v>
      </c>
      <c r="G438" s="17">
        <v>12.152116810859221</v>
      </c>
      <c r="H438" s="17">
        <v>1.2247636726928275</v>
      </c>
      <c r="I438" s="17">
        <v>0.13278436572426922</v>
      </c>
      <c r="J438" s="17">
        <v>0.11687919136267017</v>
      </c>
      <c r="K438" s="17">
        <v>0.68940022153053548</v>
      </c>
      <c r="L438" s="17">
        <v>4.4631455069109114</v>
      </c>
      <c r="M438" s="17">
        <v>3.1091944719022289</v>
      </c>
      <c r="N438" s="17">
        <v>0</v>
      </c>
      <c r="O438" s="17">
        <v>0.21340236941648155</v>
      </c>
      <c r="P438" s="17">
        <v>100</v>
      </c>
      <c r="Q438" s="17">
        <v>0.37833198323392025</v>
      </c>
    </row>
    <row r="439" spans="1:17" x14ac:dyDescent="0.2">
      <c r="B439" s="5"/>
      <c r="C439" s="5"/>
      <c r="D439" s="28" t="s">
        <v>269</v>
      </c>
      <c r="E439" s="17">
        <v>77.887731457826021</v>
      </c>
      <c r="F439" s="17">
        <v>0.16123036602452284</v>
      </c>
      <c r="G439" s="17">
        <v>12.209230120382127</v>
      </c>
      <c r="H439" s="17">
        <v>1.1910973709052177</v>
      </c>
      <c r="I439" s="17">
        <v>3.4756938331598743E-2</v>
      </c>
      <c r="J439" s="17">
        <v>0.11358746708912593</v>
      </c>
      <c r="K439" s="17">
        <v>0.74276573115438316</v>
      </c>
      <c r="L439" s="17">
        <v>4.2643178089949201</v>
      </c>
      <c r="M439" s="17">
        <v>3.2586371807075012</v>
      </c>
      <c r="N439" s="17">
        <v>0</v>
      </c>
      <c r="O439" s="17">
        <v>0.17681223012584646</v>
      </c>
      <c r="P439" s="17">
        <v>100</v>
      </c>
      <c r="Q439" s="17">
        <v>-0.4116060713874532</v>
      </c>
    </row>
    <row r="440" spans="1:17" x14ac:dyDescent="0.2">
      <c r="B440" s="5"/>
      <c r="C440" s="5"/>
      <c r="D440" s="28" t="s">
        <v>270</v>
      </c>
      <c r="E440" s="17">
        <v>78.032925771302985</v>
      </c>
      <c r="F440" s="17">
        <v>0.15860221093341559</v>
      </c>
      <c r="G440" s="17">
        <v>12.154345318968854</v>
      </c>
      <c r="H440" s="17">
        <v>1.2137737842765923</v>
      </c>
      <c r="I440" s="17">
        <v>8.7133208628243763E-3</v>
      </c>
      <c r="J440" s="17">
        <v>0.10648504891262796</v>
      </c>
      <c r="K440" s="17">
        <v>0.73080057987051339</v>
      </c>
      <c r="L440" s="17">
        <v>4.42876550813744</v>
      </c>
      <c r="M440" s="17">
        <v>3.0399343016333034</v>
      </c>
      <c r="N440" s="17">
        <v>0</v>
      </c>
      <c r="O440" s="17">
        <v>0.16270723752831256</v>
      </c>
      <c r="P440" s="17">
        <v>100</v>
      </c>
      <c r="Q440" s="17">
        <v>-0.14551440690907214</v>
      </c>
    </row>
    <row r="441" spans="1:17" x14ac:dyDescent="0.2">
      <c r="B441" s="5"/>
      <c r="C441" s="5"/>
      <c r="D441" s="28" t="s">
        <v>271</v>
      </c>
      <c r="E441" s="17">
        <v>78.150529746587367</v>
      </c>
      <c r="F441" s="17">
        <v>0.12260515767794564</v>
      </c>
      <c r="G441" s="17">
        <v>12.026255721407962</v>
      </c>
      <c r="H441" s="17">
        <v>1.1437829013031364</v>
      </c>
      <c r="I441" s="17">
        <v>9.6201634852201914E-2</v>
      </c>
      <c r="J441" s="17">
        <v>9.7511379846487223E-2</v>
      </c>
      <c r="K441" s="17">
        <v>0.71373469641962206</v>
      </c>
      <c r="L441" s="17">
        <v>4.4134030314038268</v>
      </c>
      <c r="M441" s="17">
        <v>3.0492480224389471</v>
      </c>
      <c r="N441" s="17">
        <v>7.5165318786256713E-3</v>
      </c>
      <c r="O441" s="17">
        <v>0.23144934269643064</v>
      </c>
      <c r="P441" s="17">
        <v>100</v>
      </c>
      <c r="Q441" s="17">
        <v>1.7365971532277769</v>
      </c>
    </row>
    <row r="442" spans="1:17" x14ac:dyDescent="0.2">
      <c r="B442" s="5"/>
      <c r="C442" s="5"/>
      <c r="D442" s="28" t="s">
        <v>272</v>
      </c>
      <c r="E442" s="17">
        <v>78.18412365016178</v>
      </c>
      <c r="F442" s="17">
        <v>0.17328961012260402</v>
      </c>
      <c r="G442" s="17">
        <v>12.183373960195391</v>
      </c>
      <c r="H442" s="17">
        <v>1.1195623064970122</v>
      </c>
      <c r="I442" s="17">
        <v>4.8588386984537574E-2</v>
      </c>
      <c r="J442" s="17">
        <v>0.11378937292537339</v>
      </c>
      <c r="K442" s="17">
        <v>0.69635733446153936</v>
      </c>
      <c r="L442" s="17">
        <v>4.2004452144540689</v>
      </c>
      <c r="M442" s="17">
        <v>3.1039766017643489</v>
      </c>
      <c r="N442" s="17">
        <v>0</v>
      </c>
      <c r="O442" s="17">
        <v>0.22796621466508585</v>
      </c>
      <c r="P442" s="17">
        <v>100</v>
      </c>
      <c r="Q442" s="17">
        <v>1.1533352294981682</v>
      </c>
    </row>
    <row r="443" spans="1:17" x14ac:dyDescent="0.2">
      <c r="B443" s="5"/>
      <c r="C443" s="5"/>
      <c r="D443" s="28" t="s">
        <v>273</v>
      </c>
      <c r="E443" s="17">
        <v>78.224477879565526</v>
      </c>
      <c r="F443" s="17">
        <v>0.14093521530951225</v>
      </c>
      <c r="G443" s="17">
        <v>12.232197906875431</v>
      </c>
      <c r="H443" s="17">
        <v>1.1659582320892976</v>
      </c>
      <c r="I443" s="17">
        <v>8.7411980435387615E-2</v>
      </c>
      <c r="J443" s="17">
        <v>0.11959253764960409</v>
      </c>
      <c r="K443" s="17">
        <v>0.71966576033714769</v>
      </c>
      <c r="L443" s="17">
        <v>3.8074978398884842</v>
      </c>
      <c r="M443" s="17">
        <v>3.2579754166587267</v>
      </c>
      <c r="N443" s="17">
        <v>8.2721338015501356E-2</v>
      </c>
      <c r="O443" s="17">
        <v>0.20856908415598963</v>
      </c>
      <c r="P443" s="17">
        <v>100</v>
      </c>
      <c r="Q443" s="17">
        <v>1.8258142962077386</v>
      </c>
    </row>
    <row r="444" spans="1:17" x14ac:dyDescent="0.2">
      <c r="B444" s="5"/>
      <c r="C444" s="5"/>
      <c r="D444" s="28" t="s">
        <v>274</v>
      </c>
      <c r="E444" s="17">
        <v>78.316580319786866</v>
      </c>
      <c r="F444" s="17">
        <v>8.7796807400459295E-2</v>
      </c>
      <c r="G444" s="17">
        <v>12.088850608076527</v>
      </c>
      <c r="H444" s="17">
        <v>1.0899939688184459</v>
      </c>
      <c r="I444" s="17">
        <v>4.0803793077326594E-2</v>
      </c>
      <c r="J444" s="17">
        <v>9.4020079378038454E-2</v>
      </c>
      <c r="K444" s="17">
        <v>0.69146720862307975</v>
      </c>
      <c r="L444" s="17">
        <v>4.3249036215475494</v>
      </c>
      <c r="M444" s="17">
        <v>3.0948251824025572</v>
      </c>
      <c r="N444" s="17">
        <v>0</v>
      </c>
      <c r="O444" s="17">
        <v>0.21998976008030124</v>
      </c>
      <c r="P444" s="17">
        <v>100</v>
      </c>
      <c r="Q444" s="17">
        <v>0.14898878937893301</v>
      </c>
    </row>
    <row r="445" spans="1:17" x14ac:dyDescent="0.2">
      <c r="B445" s="5"/>
      <c r="C445" s="5"/>
      <c r="D445" s="28" t="s">
        <v>275</v>
      </c>
      <c r="E445" s="17">
        <v>78.666785130375487</v>
      </c>
      <c r="F445" s="17">
        <v>0.1501052992756578</v>
      </c>
      <c r="G445" s="17">
        <v>11.9825000496595</v>
      </c>
      <c r="H445" s="17">
        <v>1.0069237160932185</v>
      </c>
      <c r="I445" s="17">
        <v>0</v>
      </c>
      <c r="J445" s="17">
        <v>8.2474489264529438E-2</v>
      </c>
      <c r="K445" s="17">
        <v>0.6504814249747628</v>
      </c>
      <c r="L445" s="17">
        <v>4.0801824680167389</v>
      </c>
      <c r="M445" s="17">
        <v>3.2345520773214447</v>
      </c>
      <c r="N445" s="17">
        <v>0</v>
      </c>
      <c r="O445" s="17">
        <v>0.18887395802991921</v>
      </c>
      <c r="P445" s="17">
        <v>100</v>
      </c>
      <c r="Q445" s="17">
        <v>0.50984161075645318</v>
      </c>
    </row>
    <row r="446" spans="1:17" x14ac:dyDescent="0.2">
      <c r="B446" s="5"/>
      <c r="C446" s="5"/>
      <c r="D446" s="28" t="s">
        <v>276</v>
      </c>
      <c r="E446" s="17">
        <v>78.818626594348601</v>
      </c>
      <c r="F446" s="17">
        <v>0.19072672462193352</v>
      </c>
      <c r="G446" s="17">
        <v>12.126078336344893</v>
      </c>
      <c r="H446" s="17">
        <v>1.1013196596500618</v>
      </c>
      <c r="I446" s="17">
        <v>2.7139512256178163E-2</v>
      </c>
      <c r="J446" s="17">
        <v>8.5334182905708933E-2</v>
      </c>
      <c r="K446" s="17">
        <v>0.72967201731992637</v>
      </c>
      <c r="L446" s="17">
        <v>3.6585763097835082</v>
      </c>
      <c r="M446" s="17">
        <v>3.0978868995862179</v>
      </c>
      <c r="N446" s="17">
        <v>0</v>
      </c>
      <c r="O446" s="17">
        <v>0.21226866951902656</v>
      </c>
      <c r="P446" s="17">
        <v>100</v>
      </c>
      <c r="Q446" s="17">
        <v>-1.8478141356710438</v>
      </c>
    </row>
    <row r="447" spans="1:17" x14ac:dyDescent="0.2">
      <c r="B447" s="5"/>
      <c r="C447" s="5"/>
      <c r="D447" s="30" t="s">
        <v>20</v>
      </c>
      <c r="E447" s="16">
        <f t="shared" ref="E447:Q447" si="62">AVERAGE(E435:E446)</f>
        <v>76.626223432764391</v>
      </c>
      <c r="F447" s="16">
        <f t="shared" si="62"/>
        <v>0.22985651482484673</v>
      </c>
      <c r="G447" s="16">
        <f t="shared" si="62"/>
        <v>12.565857223339128</v>
      </c>
      <c r="H447" s="16">
        <f t="shared" si="62"/>
        <v>1.553273116388713</v>
      </c>
      <c r="I447" s="16">
        <f t="shared" si="62"/>
        <v>6.1635092102315603E-2</v>
      </c>
      <c r="J447" s="16">
        <f t="shared" si="62"/>
        <v>0.26846586788283683</v>
      </c>
      <c r="K447" s="16">
        <f t="shared" si="62"/>
        <v>1.15059987680959</v>
      </c>
      <c r="L447" s="16">
        <f t="shared" si="62"/>
        <v>4.3541738861369899</v>
      </c>
      <c r="M447" s="16">
        <f t="shared" si="62"/>
        <v>2.9975857437760034</v>
      </c>
      <c r="N447" s="16">
        <f t="shared" si="62"/>
        <v>4.1709498271670448E-2</v>
      </c>
      <c r="O447" s="16">
        <f t="shared" si="62"/>
        <v>0.19455886787184573</v>
      </c>
      <c r="P447" s="16">
        <f t="shared" si="62"/>
        <v>100</v>
      </c>
      <c r="Q447" s="16">
        <f t="shared" si="62"/>
        <v>0.20705604315886816</v>
      </c>
    </row>
    <row r="448" spans="1:17" x14ac:dyDescent="0.2">
      <c r="B448" s="5"/>
      <c r="C448" s="5"/>
      <c r="D448" s="30" t="s">
        <v>61</v>
      </c>
      <c r="E448" s="16">
        <f t="shared" ref="E448:Q448" si="63">STDEV(E435:E446)</f>
        <v>3.4117829994205873</v>
      </c>
      <c r="F448" s="16">
        <f t="shared" si="63"/>
        <v>0.20517654236238109</v>
      </c>
      <c r="G448" s="16">
        <f t="shared" si="63"/>
        <v>1.0858309556098646</v>
      </c>
      <c r="H448" s="16">
        <f t="shared" si="63"/>
        <v>0.99153006342321726</v>
      </c>
      <c r="I448" s="16">
        <f t="shared" si="63"/>
        <v>4.0947924536997651E-2</v>
      </c>
      <c r="J448" s="16">
        <f t="shared" si="63"/>
        <v>0.38908913163279912</v>
      </c>
      <c r="K448" s="16">
        <f t="shared" si="63"/>
        <v>1.051783290241699</v>
      </c>
      <c r="L448" s="16">
        <f t="shared" si="63"/>
        <v>0.66351049514665239</v>
      </c>
      <c r="M448" s="16">
        <f t="shared" si="63"/>
        <v>0.31990811122950263</v>
      </c>
      <c r="N448" s="16">
        <f t="shared" si="63"/>
        <v>7.1987889707793157E-2</v>
      </c>
      <c r="O448" s="16">
        <f t="shared" si="63"/>
        <v>3.4165801466910915E-2</v>
      </c>
      <c r="P448" s="16">
        <f t="shared" si="63"/>
        <v>0</v>
      </c>
      <c r="Q448" s="16">
        <f t="shared" si="63"/>
        <v>1.2042940482584934</v>
      </c>
    </row>
    <row r="449" spans="1:17" x14ac:dyDescent="0.2">
      <c r="B449" s="5"/>
      <c r="C449" s="5"/>
      <c r="D449" s="28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spans="1:17" x14ac:dyDescent="0.2">
      <c r="A450" s="1" t="s">
        <v>71</v>
      </c>
      <c r="B450" s="5"/>
      <c r="C450" s="5"/>
      <c r="D450" s="28" t="s">
        <v>253</v>
      </c>
      <c r="E450" s="17">
        <v>69.113511303310005</v>
      </c>
      <c r="F450" s="17">
        <v>0.72015536133299707</v>
      </c>
      <c r="G450" s="17">
        <v>14.727788344000418</v>
      </c>
      <c r="H450" s="17">
        <v>3.832127102430182</v>
      </c>
      <c r="I450" s="17">
        <v>0.13744804697247212</v>
      </c>
      <c r="J450" s="17">
        <v>1.0253815607805881</v>
      </c>
      <c r="K450" s="17">
        <v>3.5703458026077723</v>
      </c>
      <c r="L450" s="17">
        <v>4.1264683658111538</v>
      </c>
      <c r="M450" s="17">
        <v>2.3967227214551765</v>
      </c>
      <c r="N450" s="17">
        <v>0.22542048771333184</v>
      </c>
      <c r="O450" s="17">
        <v>0.16104418294336001</v>
      </c>
      <c r="P450" s="17">
        <v>100</v>
      </c>
      <c r="Q450" s="17">
        <v>0.89055246650195841</v>
      </c>
    </row>
    <row r="451" spans="1:17" x14ac:dyDescent="0.2">
      <c r="B451" s="5"/>
      <c r="C451" s="5"/>
      <c r="D451" s="28" t="s">
        <v>254</v>
      </c>
      <c r="E451" s="17">
        <v>69.960326464021193</v>
      </c>
      <c r="F451" s="17">
        <v>0.70369347603551391</v>
      </c>
      <c r="G451" s="17">
        <v>14.717760380855523</v>
      </c>
      <c r="H451" s="17">
        <v>3.4425074202233055</v>
      </c>
      <c r="I451" s="17">
        <v>6.4267315616227463E-2</v>
      </c>
      <c r="J451" s="17">
        <v>0.9669138163024803</v>
      </c>
      <c r="K451" s="17">
        <v>3.3489133530217887</v>
      </c>
      <c r="L451" s="17">
        <v>4.1545264741870955</v>
      </c>
      <c r="M451" s="17">
        <v>2.4202386065243715</v>
      </c>
      <c r="N451" s="17">
        <v>0.12122456623163194</v>
      </c>
      <c r="O451" s="17">
        <v>0.12876256198971886</v>
      </c>
      <c r="P451" s="17">
        <v>100</v>
      </c>
      <c r="Q451" s="17">
        <v>1.7245400801330533</v>
      </c>
    </row>
    <row r="452" spans="1:17" x14ac:dyDescent="0.2">
      <c r="B452" s="5"/>
      <c r="C452" s="5"/>
      <c r="D452" s="28" t="s">
        <v>255</v>
      </c>
      <c r="E452" s="17">
        <v>71.169548429298501</v>
      </c>
      <c r="F452" s="17">
        <v>0.55547241749201548</v>
      </c>
      <c r="G452" s="17">
        <v>14.50921405214746</v>
      </c>
      <c r="H452" s="17">
        <v>2.8961605409738196</v>
      </c>
      <c r="I452" s="17">
        <v>4.7817953617257145E-2</v>
      </c>
      <c r="J452" s="17">
        <v>0.76810828414037802</v>
      </c>
      <c r="K452" s="17">
        <v>2.4924626673565844</v>
      </c>
      <c r="L452" s="17">
        <v>4.758857753295211</v>
      </c>
      <c r="M452" s="17">
        <v>2.5704943880690236</v>
      </c>
      <c r="N452" s="17">
        <v>0.12417477070523648</v>
      </c>
      <c r="O452" s="17">
        <v>0.13915785054809893</v>
      </c>
      <c r="P452" s="17">
        <v>100</v>
      </c>
      <c r="Q452" s="17">
        <v>0.86150407136719309</v>
      </c>
    </row>
    <row r="453" spans="1:17" x14ac:dyDescent="0.2">
      <c r="B453" s="5"/>
      <c r="C453" s="5"/>
      <c r="D453" s="28" t="s">
        <v>256</v>
      </c>
      <c r="E453" s="17">
        <v>73.319158596456418</v>
      </c>
      <c r="F453" s="17">
        <v>0.51149009369417187</v>
      </c>
      <c r="G453" s="17">
        <v>13.685501858108598</v>
      </c>
      <c r="H453" s="17">
        <v>2.4964367782049757</v>
      </c>
      <c r="I453" s="17">
        <v>0</v>
      </c>
      <c r="J453" s="17">
        <v>0.54716749622871863</v>
      </c>
      <c r="K453" s="17">
        <v>2.1732427939825443</v>
      </c>
      <c r="L453" s="17">
        <v>4.2448652405593128</v>
      </c>
      <c r="M453" s="17">
        <v>2.8690499947602901</v>
      </c>
      <c r="N453" s="17">
        <v>4.403244862053738E-2</v>
      </c>
      <c r="O453" s="17">
        <v>0.14086012790941604</v>
      </c>
      <c r="P453" s="17">
        <v>100</v>
      </c>
      <c r="Q453" s="17">
        <v>1.1615266390132888</v>
      </c>
    </row>
    <row r="454" spans="1:17" x14ac:dyDescent="0.2">
      <c r="B454" s="5"/>
      <c r="C454" s="5"/>
      <c r="D454" s="28" t="s">
        <v>257</v>
      </c>
      <c r="E454" s="17">
        <v>76.647020573602191</v>
      </c>
      <c r="F454" s="17">
        <v>0.25413104754161864</v>
      </c>
      <c r="G454" s="17">
        <v>12.649463529132499</v>
      </c>
      <c r="H454" s="17">
        <v>1.5446490608862586</v>
      </c>
      <c r="I454" s="17">
        <v>0</v>
      </c>
      <c r="J454" s="17">
        <v>0.23511898262690697</v>
      </c>
      <c r="K454" s="17">
        <v>1.3022980219558271</v>
      </c>
      <c r="L454" s="17">
        <v>4.1099581060687722</v>
      </c>
      <c r="M454" s="17">
        <v>3.1070853701271552</v>
      </c>
      <c r="N454" s="17">
        <v>0</v>
      </c>
      <c r="O454" s="17">
        <v>0.19405137935588246</v>
      </c>
      <c r="P454" s="17">
        <v>100</v>
      </c>
      <c r="Q454" s="17">
        <v>1.4941297328091281</v>
      </c>
    </row>
    <row r="455" spans="1:17" x14ac:dyDescent="0.2">
      <c r="B455" s="5"/>
      <c r="C455" s="5"/>
      <c r="D455" s="28" t="s">
        <v>258</v>
      </c>
      <c r="E455" s="17">
        <v>77.860805610082025</v>
      </c>
      <c r="F455" s="17">
        <v>0.10838931107238158</v>
      </c>
      <c r="G455" s="17">
        <v>12.188815783490973</v>
      </c>
      <c r="H455" s="17">
        <v>1.0796992681400754</v>
      </c>
      <c r="I455" s="17">
        <v>0.13841982635638439</v>
      </c>
      <c r="J455" s="17">
        <v>0.11231090420915869</v>
      </c>
      <c r="K455" s="17">
        <v>0.7447153410759747</v>
      </c>
      <c r="L455" s="17">
        <v>4.3743880074292649</v>
      </c>
      <c r="M455" s="17">
        <v>3.1622189948818216</v>
      </c>
      <c r="N455" s="17">
        <v>8.4008972729957818E-2</v>
      </c>
      <c r="O455" s="17">
        <v>0.18825248523865112</v>
      </c>
      <c r="P455" s="17">
        <v>100</v>
      </c>
      <c r="Q455" s="17">
        <v>9.1624415174365481E-2</v>
      </c>
    </row>
    <row r="456" spans="1:17" x14ac:dyDescent="0.2">
      <c r="B456" s="5"/>
      <c r="C456" s="5"/>
      <c r="D456" s="28" t="s">
        <v>259</v>
      </c>
      <c r="E456" s="17">
        <v>78.177689216286211</v>
      </c>
      <c r="F456" s="17">
        <v>0.19490511629702451</v>
      </c>
      <c r="G456" s="17">
        <v>11.994690392751746</v>
      </c>
      <c r="H456" s="17">
        <v>1.2629634041629136</v>
      </c>
      <c r="I456" s="17">
        <v>0</v>
      </c>
      <c r="J456" s="17">
        <v>0.10502797362489195</v>
      </c>
      <c r="K456" s="17">
        <v>0.72342969076934582</v>
      </c>
      <c r="L456" s="17">
        <v>4.2906635799376094</v>
      </c>
      <c r="M456" s="17">
        <v>3.054417713511894</v>
      </c>
      <c r="N456" s="17">
        <v>3.32093358866467E-2</v>
      </c>
      <c r="O456" s="17">
        <v>0.21047132924708789</v>
      </c>
      <c r="P456" s="17">
        <v>100</v>
      </c>
      <c r="Q456" s="17">
        <v>1.0549319258972787</v>
      </c>
    </row>
    <row r="457" spans="1:17" x14ac:dyDescent="0.2">
      <c r="B457" s="5"/>
      <c r="C457" s="5"/>
      <c r="D457" s="28" t="s">
        <v>260</v>
      </c>
      <c r="E457" s="17">
        <v>78.184298114978787</v>
      </c>
      <c r="F457" s="17">
        <v>0.17214221537241653</v>
      </c>
      <c r="G457" s="17">
        <v>12.279293702717831</v>
      </c>
      <c r="H457" s="17">
        <v>1.1929169523605956</v>
      </c>
      <c r="I457" s="17">
        <v>4.9635788030187526E-2</v>
      </c>
      <c r="J457" s="17">
        <v>0.11506146452636495</v>
      </c>
      <c r="K457" s="17">
        <v>0.70697350683898419</v>
      </c>
      <c r="L457" s="17">
        <v>4.0166516920230526</v>
      </c>
      <c r="M457" s="17">
        <v>3.0897453558908032</v>
      </c>
      <c r="N457" s="17">
        <v>0</v>
      </c>
      <c r="O457" s="17">
        <v>0.24964746058657428</v>
      </c>
      <c r="P457" s="17">
        <v>100</v>
      </c>
      <c r="Q457" s="17">
        <v>1.3292586989578012</v>
      </c>
    </row>
    <row r="458" spans="1:17" x14ac:dyDescent="0.2">
      <c r="B458" s="5"/>
      <c r="C458" s="5"/>
      <c r="D458" s="28" t="s">
        <v>261</v>
      </c>
      <c r="E458" s="17">
        <v>78.264154998484486</v>
      </c>
      <c r="F458" s="17">
        <v>0.11498569850182984</v>
      </c>
      <c r="G458" s="17">
        <v>12.225172681093969</v>
      </c>
      <c r="H458" s="17">
        <v>1.0884155671966682</v>
      </c>
      <c r="I458" s="17">
        <v>6.1631894365606468E-2</v>
      </c>
      <c r="J458" s="17">
        <v>9.5190398204323817E-2</v>
      </c>
      <c r="K458" s="17">
        <v>0.75029627404258115</v>
      </c>
      <c r="L458" s="17">
        <v>4.0957142474148274</v>
      </c>
      <c r="M458" s="17">
        <v>3.1743122034256088</v>
      </c>
      <c r="N458" s="17">
        <v>7.4377525353704274E-3</v>
      </c>
      <c r="O458" s="17">
        <v>0.15854167442143746</v>
      </c>
      <c r="P458" s="17">
        <v>100</v>
      </c>
      <c r="Q458" s="17">
        <v>1.8251822001989524</v>
      </c>
    </row>
    <row r="459" spans="1:17" x14ac:dyDescent="0.2">
      <c r="B459" s="5"/>
      <c r="C459" s="5"/>
      <c r="D459" s="28" t="s">
        <v>262</v>
      </c>
      <c r="E459" s="17">
        <v>78.290400688051449</v>
      </c>
      <c r="F459" s="17">
        <v>0.16509857766750519</v>
      </c>
      <c r="G459" s="17">
        <v>11.982089581265312</v>
      </c>
      <c r="H459" s="17">
        <v>1.2081612779719038</v>
      </c>
      <c r="I459" s="17">
        <v>2.61861350388163E-2</v>
      </c>
      <c r="J459" s="17">
        <v>0.13580314835602236</v>
      </c>
      <c r="K459" s="17">
        <v>0.7428062614001415</v>
      </c>
      <c r="L459" s="17">
        <v>4.3429640837100516</v>
      </c>
      <c r="M459" s="17">
        <v>2.9587709980147348</v>
      </c>
      <c r="N459" s="17">
        <v>1.1067835410336147E-2</v>
      </c>
      <c r="O459" s="17">
        <v>0.17647441397201583</v>
      </c>
      <c r="P459" s="17">
        <v>100</v>
      </c>
      <c r="Q459" s="17">
        <v>0.97431346183050493</v>
      </c>
    </row>
    <row r="460" spans="1:17" x14ac:dyDescent="0.2">
      <c r="B460" s="5"/>
      <c r="C460" s="5"/>
      <c r="D460" s="28" t="s">
        <v>263</v>
      </c>
      <c r="E460" s="17">
        <v>78.473847090013209</v>
      </c>
      <c r="F460" s="17">
        <v>0.1212445796250653</v>
      </c>
      <c r="G460" s="17">
        <v>12.050395022846502</v>
      </c>
      <c r="H460" s="17">
        <v>1.2891121252850417</v>
      </c>
      <c r="I460" s="17">
        <v>5.2516232889007641E-2</v>
      </c>
      <c r="J460" s="17">
        <v>0.10139658638601201</v>
      </c>
      <c r="K460" s="17">
        <v>0.74919871678981442</v>
      </c>
      <c r="L460" s="17">
        <v>3.9388997162691579</v>
      </c>
      <c r="M460" s="17">
        <v>3.0372442450003336</v>
      </c>
      <c r="N460" s="17">
        <v>1.849630875330438E-2</v>
      </c>
      <c r="O460" s="17">
        <v>0.21665325436409669</v>
      </c>
      <c r="P460" s="17">
        <v>100</v>
      </c>
      <c r="Q460" s="17">
        <v>1.2343476547102625</v>
      </c>
    </row>
    <row r="461" spans="1:17" x14ac:dyDescent="0.2">
      <c r="B461" s="5"/>
      <c r="C461" s="5"/>
      <c r="D461" s="30" t="s">
        <v>20</v>
      </c>
      <c r="E461" s="16">
        <f>AVERAGE(E450:E460)</f>
        <v>75.405523734962244</v>
      </c>
      <c r="F461" s="16">
        <f t="shared" ref="F461:Q461" si="64">AVERAGE(F450:F460)</f>
        <v>0.32924617223932179</v>
      </c>
      <c r="G461" s="16">
        <f t="shared" si="64"/>
        <v>13.000925938946439</v>
      </c>
      <c r="H461" s="16">
        <f t="shared" si="64"/>
        <v>1.9393772270759762</v>
      </c>
      <c r="I461" s="16">
        <f t="shared" si="64"/>
        <v>5.2538472080541736E-2</v>
      </c>
      <c r="J461" s="16">
        <f t="shared" si="64"/>
        <v>0.38249823776234959</v>
      </c>
      <c r="K461" s="16">
        <f t="shared" si="64"/>
        <v>1.573152948167396</v>
      </c>
      <c r="L461" s="16">
        <f t="shared" si="64"/>
        <v>4.2230870242459551</v>
      </c>
      <c r="M461" s="16">
        <f t="shared" si="64"/>
        <v>2.8945727810601101</v>
      </c>
      <c r="N461" s="16">
        <f t="shared" si="64"/>
        <v>6.0824770780577554E-2</v>
      </c>
      <c r="O461" s="16">
        <f t="shared" si="64"/>
        <v>0.17853788368875811</v>
      </c>
      <c r="P461" s="16">
        <f t="shared" si="64"/>
        <v>100</v>
      </c>
      <c r="Q461" s="16">
        <f t="shared" si="64"/>
        <v>1.1492646678721625</v>
      </c>
    </row>
    <row r="462" spans="1:17" x14ac:dyDescent="0.2">
      <c r="B462" s="5"/>
      <c r="C462" s="5"/>
      <c r="D462" s="30" t="s">
        <v>61</v>
      </c>
      <c r="E462" s="16">
        <f t="shared" ref="E462:Q462" si="65">STDEV(E450:E460)</f>
        <v>3.7472804536733575</v>
      </c>
      <c r="F462" s="16">
        <f t="shared" si="65"/>
        <v>0.24303863725430069</v>
      </c>
      <c r="G462" s="16">
        <f t="shared" si="65"/>
        <v>1.1633053313981634</v>
      </c>
      <c r="H462" s="16">
        <f t="shared" si="65"/>
        <v>1.0324197041270311</v>
      </c>
      <c r="I462" s="16">
        <f t="shared" si="65"/>
        <v>4.8797056465728086E-2</v>
      </c>
      <c r="J462" s="16">
        <f t="shared" si="65"/>
        <v>0.37367205186344143</v>
      </c>
      <c r="K462" s="16">
        <f t="shared" si="65"/>
        <v>1.1236004403943693</v>
      </c>
      <c r="L462" s="16">
        <f t="shared" si="65"/>
        <v>0.22266326944103509</v>
      </c>
      <c r="M462" s="16">
        <f t="shared" si="65"/>
        <v>0.29354647727324956</v>
      </c>
      <c r="N462" s="16">
        <f t="shared" si="65"/>
        <v>7.131068634832681E-2</v>
      </c>
      <c r="O462" s="16">
        <f t="shared" si="65"/>
        <v>3.7446307139279864E-2</v>
      </c>
      <c r="P462" s="16">
        <f t="shared" si="65"/>
        <v>0</v>
      </c>
      <c r="Q462" s="16">
        <f t="shared" si="65"/>
        <v>0.4748024014423235</v>
      </c>
    </row>
    <row r="463" spans="1:17" x14ac:dyDescent="0.2">
      <c r="B463" s="5"/>
      <c r="C463" s="5"/>
      <c r="D463" s="23"/>
    </row>
    <row r="464" spans="1:17" x14ac:dyDescent="0.2">
      <c r="A464" s="1" t="s">
        <v>71</v>
      </c>
      <c r="B464" s="5"/>
      <c r="C464" s="5"/>
      <c r="D464" s="28" t="s">
        <v>48</v>
      </c>
      <c r="E464" s="8">
        <v>74.378900000000002</v>
      </c>
      <c r="F464" s="8">
        <v>6.9249000000000005E-2</v>
      </c>
      <c r="G464" s="8">
        <v>13.055400000000001</v>
      </c>
      <c r="H464" s="8">
        <v>1.5601</v>
      </c>
      <c r="I464" s="8">
        <v>1.438E-3</v>
      </c>
      <c r="J464" s="8">
        <v>4.3924999999999999E-2</v>
      </c>
      <c r="K464" s="8">
        <v>0.73019900000000004</v>
      </c>
      <c r="L464" s="8">
        <v>4.2715800000000002</v>
      </c>
      <c r="M464" s="8">
        <v>5.3386699999999996</v>
      </c>
      <c r="N464" s="8">
        <v>0.104952</v>
      </c>
      <c r="O464" s="8">
        <v>0.35026499999999999</v>
      </c>
      <c r="P464" s="8">
        <v>99.825599999999994</v>
      </c>
      <c r="Q464" s="8">
        <f t="shared" ref="Q464:Q469" si="66">100-P464</f>
        <v>0.17440000000000566</v>
      </c>
    </row>
    <row r="465" spans="1:17" x14ac:dyDescent="0.2">
      <c r="B465" s="5"/>
      <c r="C465" s="5"/>
      <c r="D465" s="28" t="s">
        <v>49</v>
      </c>
      <c r="E465" s="8">
        <v>74.410799999999995</v>
      </c>
      <c r="F465" s="8">
        <v>6.3158000000000006E-2</v>
      </c>
      <c r="G465" s="8">
        <v>12.8942</v>
      </c>
      <c r="H465" s="8">
        <v>1.6302300000000001</v>
      </c>
      <c r="I465" s="8">
        <v>2.8760000000000001E-3</v>
      </c>
      <c r="J465" s="8">
        <v>3.8922999999999999E-2</v>
      </c>
      <c r="K465" s="8">
        <v>0.70966300000000004</v>
      </c>
      <c r="L465" s="8">
        <v>4.1979600000000001</v>
      </c>
      <c r="M465" s="8">
        <v>5.3205099999999996</v>
      </c>
      <c r="N465" s="8">
        <v>9.4103999999999993E-2</v>
      </c>
      <c r="O465" s="8">
        <v>0.34583900000000001</v>
      </c>
      <c r="P465" s="8">
        <v>99.630200000000002</v>
      </c>
      <c r="Q465" s="8">
        <f t="shared" si="66"/>
        <v>0.36979999999999791</v>
      </c>
    </row>
    <row r="466" spans="1:17" x14ac:dyDescent="0.2">
      <c r="B466" s="5"/>
      <c r="C466" s="5"/>
      <c r="D466" s="28" t="s">
        <v>50</v>
      </c>
      <c r="E466" s="8">
        <v>74.8048</v>
      </c>
      <c r="F466" s="8">
        <v>8.4289000000000003E-2</v>
      </c>
      <c r="G466" s="8">
        <v>13.069800000000001</v>
      </c>
      <c r="H466" s="8">
        <v>1.63897</v>
      </c>
      <c r="I466" s="8">
        <v>0.14810400000000001</v>
      </c>
      <c r="J466" s="8">
        <v>3.4374000000000002E-2</v>
      </c>
      <c r="K466" s="8">
        <v>0.73472199999999999</v>
      </c>
      <c r="L466" s="8">
        <v>4.0019099999999996</v>
      </c>
      <c r="M466" s="8">
        <v>5.2680699999999998</v>
      </c>
      <c r="N466" s="8">
        <v>0</v>
      </c>
      <c r="O466" s="8">
        <v>0.27913300000000002</v>
      </c>
      <c r="P466" s="8">
        <v>100.001</v>
      </c>
      <c r="Q466" s="8">
        <f t="shared" si="66"/>
        <v>-1.0000000000047748E-3</v>
      </c>
    </row>
    <row r="467" spans="1:17" x14ac:dyDescent="0.2">
      <c r="B467" s="5"/>
      <c r="C467" s="5"/>
      <c r="D467" s="28" t="s">
        <v>62</v>
      </c>
      <c r="E467" s="8">
        <v>74.091399999999993</v>
      </c>
      <c r="F467" s="8">
        <v>9.7923999999999997E-2</v>
      </c>
      <c r="G467" s="8">
        <v>13.1884</v>
      </c>
      <c r="H467" s="8">
        <v>1.7547699999999999</v>
      </c>
      <c r="I467" s="8">
        <v>6.0384E-2</v>
      </c>
      <c r="J467" s="8">
        <v>1.9106000000000001E-2</v>
      </c>
      <c r="K467" s="8">
        <v>0.73907999999999996</v>
      </c>
      <c r="L467" s="8">
        <v>3.7923100000000001</v>
      </c>
      <c r="M467" s="8">
        <v>5.4046099999999999</v>
      </c>
      <c r="N467" s="8">
        <v>0</v>
      </c>
      <c r="O467" s="8">
        <v>0.31787599999999999</v>
      </c>
      <c r="P467" s="8">
        <v>99.394099999999995</v>
      </c>
      <c r="Q467" s="8">
        <f t="shared" si="66"/>
        <v>0.60590000000000543</v>
      </c>
    </row>
    <row r="468" spans="1:17" x14ac:dyDescent="0.2">
      <c r="B468" s="5"/>
      <c r="C468" s="5"/>
      <c r="D468" s="28" t="s">
        <v>63</v>
      </c>
      <c r="E468" s="8">
        <v>74.097899999999996</v>
      </c>
      <c r="F468" s="8">
        <v>0.124178</v>
      </c>
      <c r="G468" s="8">
        <v>12.8741</v>
      </c>
      <c r="H468" s="8">
        <v>1.5435300000000001</v>
      </c>
      <c r="I468" s="8">
        <v>5.6086999999999998E-2</v>
      </c>
      <c r="J468" s="8">
        <v>3.3493000000000002E-2</v>
      </c>
      <c r="K468" s="8">
        <v>0.68766799999999995</v>
      </c>
      <c r="L468" s="8">
        <v>3.8110599999999999</v>
      </c>
      <c r="M468" s="8">
        <v>5.3558700000000004</v>
      </c>
      <c r="N468" s="8">
        <v>0</v>
      </c>
      <c r="O468" s="8">
        <v>0.29355799999999999</v>
      </c>
      <c r="P468" s="8">
        <v>98.811199999999999</v>
      </c>
      <c r="Q468" s="8">
        <f t="shared" si="66"/>
        <v>1.1888000000000005</v>
      </c>
    </row>
    <row r="469" spans="1:17" x14ac:dyDescent="0.2">
      <c r="B469" s="5"/>
      <c r="C469" s="5"/>
      <c r="D469" s="28" t="s">
        <v>64</v>
      </c>
      <c r="E469" s="8">
        <v>74.900300000000001</v>
      </c>
      <c r="F469" s="8">
        <v>5.4401999999999999E-2</v>
      </c>
      <c r="G469" s="8">
        <v>13.0823</v>
      </c>
      <c r="H469" s="8">
        <v>1.5789200000000001</v>
      </c>
      <c r="I469" s="8">
        <v>0.122215</v>
      </c>
      <c r="J469" s="8">
        <v>4.7294999999999997E-2</v>
      </c>
      <c r="K469" s="8">
        <v>0.69229799999999997</v>
      </c>
      <c r="L469" s="8">
        <v>4.2117899999999997</v>
      </c>
      <c r="M469" s="8">
        <v>5.3449999999999998</v>
      </c>
      <c r="N469" s="8">
        <v>0</v>
      </c>
      <c r="O469" s="8">
        <v>0.35910500000000001</v>
      </c>
      <c r="P469" s="8">
        <v>100.313</v>
      </c>
      <c r="Q469" s="8">
        <f t="shared" si="66"/>
        <v>-0.31300000000000239</v>
      </c>
    </row>
    <row r="470" spans="1:17" x14ac:dyDescent="0.2">
      <c r="B470" s="5"/>
      <c r="C470" s="5"/>
      <c r="D470" s="30" t="s">
        <v>20</v>
      </c>
      <c r="E470" s="16">
        <f>AVERAGE(E464:E469)</f>
        <v>74.447349999999986</v>
      </c>
      <c r="F470" s="16">
        <f t="shared" ref="F470:Q470" si="67">AVERAGE(F464:F469)</f>
        <v>8.2200000000000009E-2</v>
      </c>
      <c r="G470" s="16">
        <f t="shared" si="67"/>
        <v>13.027366666666667</v>
      </c>
      <c r="H470" s="16">
        <f t="shared" si="67"/>
        <v>1.6177533333333332</v>
      </c>
      <c r="I470" s="16">
        <f t="shared" si="67"/>
        <v>6.5184000000000006E-2</v>
      </c>
      <c r="J470" s="16">
        <f t="shared" si="67"/>
        <v>3.6186000000000003E-2</v>
      </c>
      <c r="K470" s="16">
        <f t="shared" si="67"/>
        <v>0.71560500000000005</v>
      </c>
      <c r="L470" s="16">
        <f t="shared" si="67"/>
        <v>4.0477683333333339</v>
      </c>
      <c r="M470" s="16">
        <f t="shared" si="67"/>
        <v>5.3387883333333335</v>
      </c>
      <c r="N470" s="16">
        <f t="shared" si="67"/>
        <v>3.3176000000000004E-2</v>
      </c>
      <c r="O470" s="16">
        <f t="shared" si="67"/>
        <v>0.32429600000000003</v>
      </c>
      <c r="P470" s="16">
        <f t="shared" si="67"/>
        <v>99.662516666666662</v>
      </c>
      <c r="Q470" s="16">
        <f t="shared" si="67"/>
        <v>0.33748333333333375</v>
      </c>
    </row>
    <row r="471" spans="1:17" x14ac:dyDescent="0.2">
      <c r="B471" s="5"/>
      <c r="C471" s="5"/>
      <c r="D471" s="30" t="s">
        <v>61</v>
      </c>
      <c r="E471" s="16">
        <f t="shared" ref="E471:Q471" si="68">STDEV(E464:E469)</f>
        <v>0.34286184243803203</v>
      </c>
      <c r="F471" s="16">
        <f t="shared" si="68"/>
        <v>2.5755836425944281E-2</v>
      </c>
      <c r="G471" s="16">
        <f t="shared" si="68"/>
        <v>0.12063158237653465</v>
      </c>
      <c r="H471" s="16">
        <f t="shared" si="68"/>
        <v>7.709788445000719E-2</v>
      </c>
      <c r="I471" s="16">
        <f t="shared" si="68"/>
        <v>6.0299081502125713E-2</v>
      </c>
      <c r="J471" s="16">
        <f t="shared" si="68"/>
        <v>9.9303087968098981E-3</v>
      </c>
      <c r="K471" s="16">
        <f t="shared" si="68"/>
        <v>2.2309279378769736E-2</v>
      </c>
      <c r="L471" s="16">
        <f t="shared" si="68"/>
        <v>0.21116111757770811</v>
      </c>
      <c r="M471" s="16">
        <f t="shared" si="68"/>
        <v>4.4717008136353154E-2</v>
      </c>
      <c r="N471" s="16">
        <f t="shared" si="68"/>
        <v>5.1510393638565799E-2</v>
      </c>
      <c r="O471" s="16">
        <f t="shared" si="68"/>
        <v>3.2789918889805141E-2</v>
      </c>
      <c r="P471" s="16">
        <f t="shared" si="68"/>
        <v>0.52194399092878574</v>
      </c>
      <c r="Q471" s="16">
        <f t="shared" si="68"/>
        <v>0.52194399092878563</v>
      </c>
    </row>
    <row r="472" spans="1:17" x14ac:dyDescent="0.2">
      <c r="B472" s="5"/>
      <c r="C472" s="5"/>
      <c r="D472" s="23"/>
    </row>
    <row r="473" spans="1:17" x14ac:dyDescent="0.2">
      <c r="A473" s="1" t="s">
        <v>71</v>
      </c>
      <c r="B473" s="5"/>
      <c r="C473" s="5"/>
      <c r="D473" s="28" t="s">
        <v>54</v>
      </c>
      <c r="E473" s="17">
        <v>75.296882336027039</v>
      </c>
      <c r="F473" s="17">
        <v>0.32086115199587739</v>
      </c>
      <c r="G473" s="17">
        <v>13.195347438046188</v>
      </c>
      <c r="H473" s="17">
        <v>1.6369442850118234</v>
      </c>
      <c r="I473" s="17">
        <v>0.12720767913653899</v>
      </c>
      <c r="J473" s="17">
        <v>0.28580203845768959</v>
      </c>
      <c r="K473" s="17">
        <v>1.4335061797419122</v>
      </c>
      <c r="L473" s="17">
        <v>3.8862804155808339</v>
      </c>
      <c r="M473" s="17">
        <v>3.5434587260744466</v>
      </c>
      <c r="N473" s="17">
        <v>6.9608965938281836E-2</v>
      </c>
      <c r="O473" s="17">
        <v>0.26366515994866513</v>
      </c>
      <c r="P473" s="17">
        <v>100.00045451289692</v>
      </c>
      <c r="Q473" s="17">
        <v>6.1385281058052357</v>
      </c>
    </row>
    <row r="474" spans="1:17" x14ac:dyDescent="0.2">
      <c r="B474" s="5"/>
      <c r="C474" s="5"/>
      <c r="D474" s="28" t="s">
        <v>55</v>
      </c>
      <c r="E474" s="17">
        <v>75.226218669259964</v>
      </c>
      <c r="F474" s="17">
        <v>0.29316994598736201</v>
      </c>
      <c r="G474" s="17">
        <v>13.220737527584026</v>
      </c>
      <c r="H474" s="17">
        <v>1.7511314525207777</v>
      </c>
      <c r="I474" s="17">
        <v>0</v>
      </c>
      <c r="J474" s="17">
        <v>0.2929367144611793</v>
      </c>
      <c r="K474" s="17">
        <v>1.4865698521289374</v>
      </c>
      <c r="L474" s="17">
        <v>3.6103719647002772</v>
      </c>
      <c r="M474" s="17">
        <v>3.8706055731306614</v>
      </c>
      <c r="N474" s="17">
        <v>6.4199060006139827E-2</v>
      </c>
      <c r="O474" s="17">
        <v>0.23777954094330242</v>
      </c>
      <c r="P474" s="17">
        <v>100.00041608837363</v>
      </c>
      <c r="Q474" s="17">
        <v>3.9580953457835903</v>
      </c>
    </row>
    <row r="475" spans="1:17" x14ac:dyDescent="0.2">
      <c r="B475" s="5"/>
      <c r="C475" s="5"/>
      <c r="D475" s="28" t="s">
        <v>56</v>
      </c>
      <c r="E475" s="17">
        <v>75.322434213029183</v>
      </c>
      <c r="F475" s="17">
        <v>0.28588831937091636</v>
      </c>
      <c r="G475" s="17">
        <v>13.167857570577556</v>
      </c>
      <c r="H475" s="17">
        <v>1.7527954730149569</v>
      </c>
      <c r="I475" s="17">
        <v>0.16871018339806423</v>
      </c>
      <c r="J475" s="17">
        <v>0.32867741731293854</v>
      </c>
      <c r="K475" s="17">
        <v>1.4473522801685856</v>
      </c>
      <c r="L475" s="17">
        <v>3.6997977003827627</v>
      </c>
      <c r="M475" s="17">
        <v>3.6040488361148952</v>
      </c>
      <c r="N475" s="17">
        <v>7.2870592489695699E-2</v>
      </c>
      <c r="O475" s="17">
        <v>0.19316170032349503</v>
      </c>
      <c r="P475" s="17">
        <v>100.00033376675478</v>
      </c>
      <c r="Q475" s="17">
        <v>5.3637446275030669</v>
      </c>
    </row>
    <row r="476" spans="1:17" x14ac:dyDescent="0.2">
      <c r="B476" s="5"/>
      <c r="C476" s="5"/>
      <c r="D476" s="28" t="s">
        <v>67</v>
      </c>
      <c r="E476" s="17">
        <v>74.862311741154883</v>
      </c>
      <c r="F476" s="17">
        <v>0.29214359185341404</v>
      </c>
      <c r="G476" s="17">
        <v>13.18414829448866</v>
      </c>
      <c r="H476" s="17">
        <v>1.6673979624861703</v>
      </c>
      <c r="I476" s="17">
        <v>0.1083539770837864</v>
      </c>
      <c r="J476" s="17">
        <v>0.32672558338074897</v>
      </c>
      <c r="K476" s="17">
        <v>1.5256003923132728</v>
      </c>
      <c r="L476" s="17">
        <v>4.1787907156199511</v>
      </c>
      <c r="M476" s="17">
        <v>3.6300686333795191</v>
      </c>
      <c r="N476" s="17">
        <v>3.0361128200317025E-2</v>
      </c>
      <c r="O476" s="17">
        <v>0.2506108826559304</v>
      </c>
      <c r="P476" s="17">
        <v>100.00043090667037</v>
      </c>
      <c r="Q476" s="17">
        <v>4.4271352218821249</v>
      </c>
    </row>
    <row r="477" spans="1:17" x14ac:dyDescent="0.2">
      <c r="B477" s="5"/>
      <c r="C477" s="5"/>
      <c r="D477" s="28" t="s">
        <v>66</v>
      </c>
      <c r="E477" s="17">
        <v>75.189300651261618</v>
      </c>
      <c r="F477" s="17">
        <v>0.3291954956029372</v>
      </c>
      <c r="G477" s="17">
        <v>13.137963173182241</v>
      </c>
      <c r="H477" s="17">
        <v>1.7109611857768787</v>
      </c>
      <c r="I477" s="17">
        <v>3.171813832987283E-2</v>
      </c>
      <c r="J477" s="17">
        <v>0.29118265110598668</v>
      </c>
      <c r="K477" s="17">
        <v>1.4968823863121561</v>
      </c>
      <c r="L477" s="17">
        <v>3.7473868155026264</v>
      </c>
      <c r="M477" s="17">
        <v>3.7870734694592185</v>
      </c>
      <c r="N477" s="17">
        <v>7.9965654344975448E-2</v>
      </c>
      <c r="O477" s="17">
        <v>0.25616178669178657</v>
      </c>
      <c r="P477" s="17">
        <v>100.00044577222016</v>
      </c>
      <c r="Q477" s="17">
        <v>4.7453552103821153</v>
      </c>
    </row>
    <row r="478" spans="1:17" x14ac:dyDescent="0.2">
      <c r="B478" s="5"/>
      <c r="C478" s="5"/>
      <c r="D478" s="28" t="s">
        <v>65</v>
      </c>
      <c r="E478" s="17">
        <v>75.459750002468866</v>
      </c>
      <c r="F478" s="17">
        <v>0.3292226385389021</v>
      </c>
      <c r="G478" s="17">
        <v>12.971359416912135</v>
      </c>
      <c r="H478" s="17">
        <v>1.6712848377257623</v>
      </c>
      <c r="I478" s="17">
        <v>0.12661846397207091</v>
      </c>
      <c r="J478" s="17">
        <v>0.28667259156737207</v>
      </c>
      <c r="K478" s="17">
        <v>1.5176572198412621</v>
      </c>
      <c r="L478" s="17">
        <v>3.7774432429796416</v>
      </c>
      <c r="M478" s="17">
        <v>3.6038144317789391</v>
      </c>
      <c r="N478" s="17">
        <v>5.3866684183768804E-2</v>
      </c>
      <c r="O478" s="17">
        <v>0.26117967406583964</v>
      </c>
      <c r="P478" s="17">
        <v>100.00045174981969</v>
      </c>
      <c r="Q478" s="17">
        <v>5.6875306698234738</v>
      </c>
    </row>
    <row r="479" spans="1:17" x14ac:dyDescent="0.2">
      <c r="B479" s="5"/>
      <c r="C479" s="5"/>
      <c r="D479" s="30" t="s">
        <v>20</v>
      </c>
      <c r="E479" s="16">
        <f>AVERAGE(E473:E478)</f>
        <v>75.226149602200252</v>
      </c>
      <c r="F479" s="16">
        <f t="shared" ref="F479" si="69">AVERAGE(F473:F478)</f>
        <v>0.30841352389156823</v>
      </c>
      <c r="G479" s="16">
        <f t="shared" ref="G479" si="70">AVERAGE(G473:G478)</f>
        <v>13.1462355701318</v>
      </c>
      <c r="H479" s="16">
        <f t="shared" ref="H479" si="71">AVERAGE(H473:H478)</f>
        <v>1.6984191994227282</v>
      </c>
      <c r="I479" s="16">
        <f t="shared" ref="I479" si="72">AVERAGE(I473:I478)</f>
        <v>9.3768073653388892E-2</v>
      </c>
      <c r="J479" s="16">
        <f t="shared" ref="J479" si="73">AVERAGE(J473:J478)</f>
        <v>0.30199949938098586</v>
      </c>
      <c r="K479" s="16">
        <f t="shared" ref="K479" si="74">AVERAGE(K473:K478)</f>
        <v>1.4845947184176878</v>
      </c>
      <c r="L479" s="16">
        <f t="shared" ref="L479" si="75">AVERAGE(L473:L478)</f>
        <v>3.8166784757943488</v>
      </c>
      <c r="M479" s="16">
        <f t="shared" ref="M479" si="76">AVERAGE(M473:M478)</f>
        <v>3.673178278322947</v>
      </c>
      <c r="N479" s="16">
        <f t="shared" ref="N479" si="77">AVERAGE(N473:N478)</f>
        <v>6.1812014193863098E-2</v>
      </c>
      <c r="O479" s="16">
        <f t="shared" ref="O479" si="78">AVERAGE(O473:O478)</f>
        <v>0.2437597907715032</v>
      </c>
      <c r="P479" s="16">
        <f t="shared" ref="P479" si="79">AVERAGE(P473:P478)</f>
        <v>100.00042213278927</v>
      </c>
      <c r="Q479" s="16">
        <f t="shared" ref="Q479" si="80">AVERAGE(Q473:Q478)</f>
        <v>5.0533981968632675</v>
      </c>
    </row>
    <row r="480" spans="1:17" x14ac:dyDescent="0.2">
      <c r="B480" s="5"/>
      <c r="C480" s="5"/>
      <c r="D480" s="30" t="s">
        <v>61</v>
      </c>
      <c r="E480" s="16">
        <f>STDEV(E473:E478)</f>
        <v>0.20128528610325788</v>
      </c>
      <c r="F480" s="16">
        <f t="shared" ref="F480:Q480" si="81">STDEV(F473:F478)</f>
        <v>2.0121208912916581E-2</v>
      </c>
      <c r="G480" s="16">
        <f t="shared" si="81"/>
        <v>9.0019447145478521E-2</v>
      </c>
      <c r="H480" s="16">
        <f t="shared" si="81"/>
        <v>4.7687352633085711E-2</v>
      </c>
      <c r="I480" s="16">
        <f t="shared" si="81"/>
        <v>6.4294742959502091E-2</v>
      </c>
      <c r="J480" s="16">
        <f t="shared" si="81"/>
        <v>2.0097266758159402E-2</v>
      </c>
      <c r="K480" s="16">
        <f t="shared" si="81"/>
        <v>3.7219672804153954E-2</v>
      </c>
      <c r="L480" s="16">
        <f t="shared" si="81"/>
        <v>0.19926561876760662</v>
      </c>
      <c r="M480" s="16">
        <f t="shared" si="81"/>
        <v>0.12666923699867849</v>
      </c>
      <c r="N480" s="16">
        <f t="shared" si="81"/>
        <v>1.7723564808605416E-2</v>
      </c>
      <c r="O480" s="16">
        <f t="shared" si="81"/>
        <v>2.644372577333047E-2</v>
      </c>
      <c r="P480" s="16">
        <f t="shared" si="81"/>
        <v>4.5621342718457884E-5</v>
      </c>
      <c r="Q480" s="16">
        <f t="shared" si="81"/>
        <v>0.82008901352104557</v>
      </c>
    </row>
    <row r="481" spans="2:4" x14ac:dyDescent="0.2">
      <c r="B481" s="5"/>
      <c r="C481" s="5"/>
      <c r="D481" s="23"/>
    </row>
    <row r="482" spans="2:4" x14ac:dyDescent="0.2">
      <c r="B482" s="5"/>
      <c r="C482" s="5"/>
      <c r="D482" s="23"/>
    </row>
    <row r="483" spans="2:4" x14ac:dyDescent="0.2">
      <c r="B483" s="5"/>
      <c r="C483" s="5"/>
      <c r="D483" s="23"/>
    </row>
    <row r="484" spans="2:4" x14ac:dyDescent="0.2">
      <c r="B484" s="5"/>
      <c r="C484" s="5"/>
      <c r="D484" s="23"/>
    </row>
    <row r="485" spans="2:4" x14ac:dyDescent="0.2">
      <c r="B485" s="5"/>
      <c r="C485" s="5"/>
      <c r="D485" s="23"/>
    </row>
    <row r="486" spans="2:4" x14ac:dyDescent="0.2">
      <c r="B486" s="5"/>
      <c r="C486" s="5"/>
      <c r="D486" s="23"/>
    </row>
    <row r="487" spans="2:4" x14ac:dyDescent="0.2">
      <c r="B487" s="5"/>
      <c r="C487" s="5"/>
      <c r="D487" s="23"/>
    </row>
    <row r="488" spans="2:4" x14ac:dyDescent="0.2">
      <c r="B488" s="5"/>
      <c r="C488" s="5"/>
      <c r="D488" s="23"/>
    </row>
    <row r="489" spans="2:4" x14ac:dyDescent="0.2">
      <c r="B489" s="5"/>
      <c r="C489" s="5"/>
      <c r="D489" s="23"/>
    </row>
    <row r="490" spans="2:4" x14ac:dyDescent="0.2">
      <c r="B490" s="5"/>
      <c r="C490" s="5"/>
      <c r="D490" s="23"/>
    </row>
    <row r="491" spans="2:4" x14ac:dyDescent="0.2">
      <c r="B491" s="5"/>
      <c r="C491" s="5"/>
      <c r="D491" s="23"/>
    </row>
    <row r="492" spans="2:4" x14ac:dyDescent="0.2">
      <c r="B492" s="5"/>
      <c r="C492" s="5"/>
      <c r="D492" s="23"/>
    </row>
    <row r="493" spans="2:4" x14ac:dyDescent="0.2">
      <c r="B493" s="5"/>
      <c r="C493" s="5"/>
      <c r="D493" s="23"/>
    </row>
    <row r="494" spans="2:4" x14ac:dyDescent="0.2">
      <c r="B494" s="5"/>
      <c r="C494" s="5"/>
      <c r="D494" s="23"/>
    </row>
    <row r="495" spans="2:4" x14ac:dyDescent="0.2">
      <c r="B495" s="5"/>
      <c r="C495" s="5"/>
      <c r="D495" s="23"/>
    </row>
    <row r="496" spans="2:4" x14ac:dyDescent="0.2">
      <c r="B496" s="5"/>
      <c r="C496" s="5"/>
      <c r="D496" s="23"/>
    </row>
    <row r="497" spans="2:17" x14ac:dyDescent="0.2">
      <c r="B497" s="5"/>
      <c r="C497" s="5"/>
      <c r="D497" s="23"/>
    </row>
    <row r="498" spans="2:17" x14ac:dyDescent="0.2">
      <c r="B498" s="5"/>
      <c r="C498" s="5"/>
      <c r="D498" s="23"/>
    </row>
    <row r="499" spans="2:17" x14ac:dyDescent="0.2">
      <c r="B499" s="5"/>
      <c r="C499" s="5"/>
      <c r="D499" s="23"/>
    </row>
    <row r="500" spans="2:17" x14ac:dyDescent="0.2">
      <c r="B500" s="5"/>
      <c r="C500" s="5"/>
      <c r="D500" s="23"/>
    </row>
    <row r="501" spans="2:17" x14ac:dyDescent="0.2">
      <c r="B501" s="5"/>
      <c r="C501" s="5"/>
      <c r="D501" s="23"/>
    </row>
    <row r="502" spans="2:17" x14ac:dyDescent="0.2">
      <c r="B502" s="5"/>
      <c r="C502" s="5"/>
      <c r="D502" s="23"/>
    </row>
    <row r="503" spans="2:17" x14ac:dyDescent="0.2">
      <c r="B503" s="5"/>
      <c r="C503" s="5"/>
      <c r="D503" s="23"/>
    </row>
    <row r="504" spans="2:17" x14ac:dyDescent="0.2">
      <c r="B504" s="5"/>
      <c r="C504" s="5"/>
      <c r="D504" s="23"/>
    </row>
    <row r="505" spans="2:17" x14ac:dyDescent="0.2">
      <c r="B505" s="5"/>
      <c r="C505" s="5"/>
      <c r="D505" s="23"/>
    </row>
    <row r="506" spans="2:17" x14ac:dyDescent="0.2">
      <c r="B506" s="5"/>
      <c r="C506" s="5"/>
      <c r="D506" s="23"/>
    </row>
    <row r="507" spans="2:17" x14ac:dyDescent="0.2">
      <c r="B507" s="5"/>
      <c r="C507" s="5"/>
      <c r="D507" s="23"/>
    </row>
    <row r="508" spans="2:17" x14ac:dyDescent="0.2">
      <c r="B508" s="5"/>
      <c r="C508" s="5"/>
      <c r="D508" s="23"/>
    </row>
    <row r="509" spans="2:17" x14ac:dyDescent="0.2">
      <c r="B509" s="5"/>
      <c r="C509" s="5"/>
      <c r="D509" s="23"/>
    </row>
    <row r="510" spans="2:17" x14ac:dyDescent="0.2">
      <c r="B510" s="5"/>
      <c r="C510" s="5"/>
      <c r="D510" s="2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 spans="2:17" x14ac:dyDescent="0.2">
      <c r="B511" s="5"/>
      <c r="C511" s="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 spans="2:17" x14ac:dyDescent="0.2">
      <c r="B512" s="5"/>
      <c r="C512" s="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 spans="2:17" x14ac:dyDescent="0.2">
      <c r="B513" s="5"/>
      <c r="C513" s="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 spans="2:17" x14ac:dyDescent="0.2">
      <c r="B514" s="5"/>
      <c r="C514" s="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 spans="2:17" x14ac:dyDescent="0.2">
      <c r="B515" s="5"/>
      <c r="C515" s="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 spans="2:17" x14ac:dyDescent="0.2">
      <c r="B516" s="5"/>
      <c r="C516" s="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 spans="2:17" x14ac:dyDescent="0.2">
      <c r="B517" s="5"/>
      <c r="C517" s="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 spans="2:17" x14ac:dyDescent="0.2">
      <c r="B518" s="5"/>
      <c r="C518" s="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 spans="2:17" x14ac:dyDescent="0.2">
      <c r="B519" s="5"/>
      <c r="C519" s="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 spans="2:17" x14ac:dyDescent="0.2">
      <c r="B520" s="5"/>
      <c r="C520" s="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 spans="2:17" x14ac:dyDescent="0.2">
      <c r="B521" s="5"/>
      <c r="C521" s="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 spans="2:17" x14ac:dyDescent="0.2">
      <c r="B522" s="5"/>
      <c r="C522" s="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 spans="2:17" x14ac:dyDescent="0.2">
      <c r="B523" s="5"/>
      <c r="C523" s="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 spans="2:17" x14ac:dyDescent="0.2">
      <c r="B524" s="5"/>
      <c r="C524" s="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 spans="2:17" x14ac:dyDescent="0.2">
      <c r="B525" s="5"/>
      <c r="C525" s="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 spans="2:17" x14ac:dyDescent="0.2">
      <c r="B526" s="5"/>
      <c r="C526" s="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 spans="2:17" x14ac:dyDescent="0.2">
      <c r="B527" s="5"/>
      <c r="C527" s="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 spans="2:17" x14ac:dyDescent="0.2">
      <c r="B528" s="5"/>
      <c r="C528" s="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 spans="2:17" x14ac:dyDescent="0.2">
      <c r="B529" s="5"/>
      <c r="C529" s="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 spans="2:17" x14ac:dyDescent="0.2">
      <c r="B530" s="5"/>
      <c r="C530" s="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 spans="2:17" x14ac:dyDescent="0.2">
      <c r="B531" s="5"/>
      <c r="C531" s="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 spans="2:17" x14ac:dyDescent="0.2">
      <c r="B532" s="5"/>
      <c r="C532" s="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 spans="2:17" x14ac:dyDescent="0.2">
      <c r="B533" s="5"/>
      <c r="C533" s="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 spans="2:17" x14ac:dyDescent="0.2">
      <c r="B534" s="5"/>
      <c r="C534" s="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 spans="2:17" x14ac:dyDescent="0.2">
      <c r="B535" s="5"/>
      <c r="C535" s="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 spans="2:17" x14ac:dyDescent="0.2">
      <c r="B536" s="5"/>
      <c r="C536" s="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 spans="2:17" x14ac:dyDescent="0.2">
      <c r="B537" s="5"/>
      <c r="C537" s="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 spans="2:17" x14ac:dyDescent="0.2">
      <c r="B538" s="5"/>
      <c r="C538" s="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 spans="2:17" x14ac:dyDescent="0.2">
      <c r="B539" s="5"/>
      <c r="C539" s="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 spans="2:17" x14ac:dyDescent="0.2">
      <c r="B540" s="5"/>
      <c r="C540" s="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 spans="2:17" x14ac:dyDescent="0.2">
      <c r="B541" s="5"/>
      <c r="C541" s="5"/>
    </row>
    <row r="542" spans="2:17" x14ac:dyDescent="0.2">
      <c r="B542" s="5"/>
      <c r="C542" s="5"/>
    </row>
    <row r="543" spans="2:17" x14ac:dyDescent="0.2">
      <c r="B543" s="5"/>
      <c r="C543" s="5"/>
    </row>
    <row r="544" spans="2:17" x14ac:dyDescent="0.2">
      <c r="B544" s="5"/>
      <c r="C544" s="5"/>
    </row>
    <row r="545" spans="2:17" x14ac:dyDescent="0.2">
      <c r="B545" s="5"/>
      <c r="C545" s="5"/>
    </row>
    <row r="546" spans="2:17" x14ac:dyDescent="0.2">
      <c r="B546" s="5"/>
      <c r="C546" s="5"/>
    </row>
    <row r="547" spans="2:17" x14ac:dyDescent="0.2">
      <c r="B547" s="5"/>
      <c r="C547" s="5"/>
    </row>
    <row r="548" spans="2:17" x14ac:dyDescent="0.2">
      <c r="B548" s="5"/>
      <c r="C548" s="5"/>
    </row>
    <row r="549" spans="2:17" x14ac:dyDescent="0.2">
      <c r="B549" s="5"/>
      <c r="C549" s="5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spans="2:17" x14ac:dyDescent="0.2">
      <c r="B550" s="5"/>
      <c r="C550" s="5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spans="2:17" x14ac:dyDescent="0.2">
      <c r="B551" s="5"/>
      <c r="C551" s="5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spans="2:17" x14ac:dyDescent="0.2">
      <c r="B552" s="5"/>
      <c r="C552" s="5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spans="2:17" x14ac:dyDescent="0.2">
      <c r="B553" s="5"/>
      <c r="C553" s="5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spans="2:17" x14ac:dyDescent="0.2">
      <c r="B554" s="5"/>
      <c r="C554" s="5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spans="2:17" x14ac:dyDescent="0.2">
      <c r="B555" s="5"/>
      <c r="C555" s="5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spans="2:17" x14ac:dyDescent="0.2">
      <c r="B556" s="5"/>
      <c r="C556" s="5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spans="2:17" x14ac:dyDescent="0.2">
      <c r="B557" s="5"/>
      <c r="C557" s="5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spans="2:17" x14ac:dyDescent="0.2">
      <c r="B558" s="5"/>
      <c r="C558" s="5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spans="2:17" x14ac:dyDescent="0.2">
      <c r="B559" s="5"/>
      <c r="C559" s="5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spans="2:17" x14ac:dyDescent="0.2">
      <c r="B560" s="5"/>
      <c r="C560" s="5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spans="2:17" x14ac:dyDescent="0.2">
      <c r="B561" s="5"/>
      <c r="C561" s="5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spans="2:17" x14ac:dyDescent="0.2">
      <c r="B562" s="5"/>
      <c r="C562" s="5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spans="2:17" x14ac:dyDescent="0.2">
      <c r="B563" s="5"/>
      <c r="C563" s="5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spans="2:17" x14ac:dyDescent="0.2">
      <c r="B564" s="5"/>
      <c r="C564" s="5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spans="2:17" x14ac:dyDescent="0.2">
      <c r="B565" s="5"/>
      <c r="C565" s="5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spans="2:17" x14ac:dyDescent="0.2">
      <c r="B566" s="5"/>
      <c r="C566" s="5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spans="2:17" x14ac:dyDescent="0.2">
      <c r="B567" s="5"/>
      <c r="C567" s="5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spans="2:17" x14ac:dyDescent="0.2">
      <c r="B568" s="5"/>
      <c r="C568" s="5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spans="2:17" x14ac:dyDescent="0.2">
      <c r="B569" s="5"/>
      <c r="C569" s="5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spans="2:17" x14ac:dyDescent="0.2">
      <c r="B570" s="5"/>
      <c r="C570" s="5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spans="2:17" x14ac:dyDescent="0.2">
      <c r="B571" s="5"/>
      <c r="C571" s="5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spans="2:17" x14ac:dyDescent="0.2">
      <c r="B572" s="5"/>
      <c r="C572" s="5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spans="2:17" x14ac:dyDescent="0.2">
      <c r="B573" s="5"/>
      <c r="C573" s="5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spans="2:17" x14ac:dyDescent="0.2">
      <c r="B574" s="5"/>
      <c r="C574" s="5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spans="2:17" x14ac:dyDescent="0.2">
      <c r="B575" s="5"/>
      <c r="C575" s="5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spans="2:17" x14ac:dyDescent="0.2">
      <c r="B576" s="5"/>
      <c r="C576" s="5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spans="2:17" x14ac:dyDescent="0.2">
      <c r="B577" s="5"/>
      <c r="C577" s="5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spans="2:17" x14ac:dyDescent="0.2">
      <c r="B578" s="5"/>
      <c r="C578" s="5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spans="2:17" x14ac:dyDescent="0.2">
      <c r="B579" s="5"/>
      <c r="C579" s="5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spans="2:17" x14ac:dyDescent="0.2">
      <c r="B580" s="5"/>
      <c r="C580" s="5"/>
    </row>
    <row r="581" spans="2:17" x14ac:dyDescent="0.2">
      <c r="B581" s="5"/>
      <c r="C581" s="5"/>
    </row>
    <row r="582" spans="2:17" x14ac:dyDescent="0.2">
      <c r="B582" s="5"/>
      <c r="C582" s="5"/>
    </row>
    <row r="583" spans="2:17" x14ac:dyDescent="0.2">
      <c r="B583" s="5"/>
      <c r="C583" s="5"/>
    </row>
    <row r="584" spans="2:17" x14ac:dyDescent="0.2">
      <c r="B584" s="5"/>
      <c r="C584" s="5"/>
    </row>
    <row r="585" spans="2:17" x14ac:dyDescent="0.2">
      <c r="B585" s="5"/>
      <c r="C585" s="5"/>
    </row>
    <row r="586" spans="2:17" x14ac:dyDescent="0.2">
      <c r="B586" s="5"/>
      <c r="C586" s="5"/>
    </row>
    <row r="587" spans="2:17" x14ac:dyDescent="0.2">
      <c r="B587" s="5"/>
      <c r="C587" s="5"/>
    </row>
    <row r="588" spans="2:17" x14ac:dyDescent="0.2">
      <c r="B588" s="5"/>
      <c r="C588" s="5"/>
    </row>
    <row r="589" spans="2:17" x14ac:dyDescent="0.2">
      <c r="B589" s="5"/>
      <c r="C589" s="5"/>
    </row>
    <row r="590" spans="2:17" x14ac:dyDescent="0.2">
      <c r="B590" s="5"/>
      <c r="C590" s="5"/>
    </row>
    <row r="591" spans="2:17" x14ac:dyDescent="0.2">
      <c r="B591" s="5"/>
      <c r="C591" s="5"/>
    </row>
    <row r="592" spans="2:17" x14ac:dyDescent="0.2">
      <c r="B592" s="5"/>
      <c r="C592" s="5"/>
    </row>
    <row r="593" spans="2:4" x14ac:dyDescent="0.2">
      <c r="B593" s="5"/>
      <c r="C593" s="5"/>
    </row>
    <row r="594" spans="2:4" x14ac:dyDescent="0.2">
      <c r="B594" s="5"/>
      <c r="C594" s="5"/>
    </row>
    <row r="595" spans="2:4" x14ac:dyDescent="0.2">
      <c r="B595" s="5"/>
      <c r="C595" s="5"/>
    </row>
    <row r="596" spans="2:4" x14ac:dyDescent="0.2">
      <c r="B596" s="5"/>
      <c r="C596" s="5"/>
    </row>
    <row r="597" spans="2:4" x14ac:dyDescent="0.2">
      <c r="B597" s="5"/>
      <c r="C597" s="5"/>
    </row>
    <row r="598" spans="2:4" x14ac:dyDescent="0.2">
      <c r="B598" s="5"/>
      <c r="C598" s="5"/>
    </row>
    <row r="599" spans="2:4" x14ac:dyDescent="0.2">
      <c r="B599" s="5"/>
      <c r="C599" s="5"/>
    </row>
    <row r="600" spans="2:4" x14ac:dyDescent="0.2">
      <c r="B600" s="5"/>
      <c r="C600" s="5"/>
    </row>
    <row r="601" spans="2:4" x14ac:dyDescent="0.2">
      <c r="B601" s="5"/>
      <c r="C601" s="5"/>
    </row>
    <row r="602" spans="2:4" x14ac:dyDescent="0.2">
      <c r="B602" s="5"/>
      <c r="C602" s="5"/>
      <c r="D602" s="8"/>
    </row>
    <row r="603" spans="2:4" x14ac:dyDescent="0.2">
      <c r="B603" s="5"/>
      <c r="C603" s="5"/>
      <c r="D603" s="8"/>
    </row>
    <row r="604" spans="2:4" x14ac:dyDescent="0.2">
      <c r="B604" s="5"/>
      <c r="C604" s="5"/>
      <c r="D604" s="8"/>
    </row>
    <row r="605" spans="2:4" x14ac:dyDescent="0.2">
      <c r="B605" s="5"/>
      <c r="C605" s="5"/>
      <c r="D605" s="8"/>
    </row>
    <row r="606" spans="2:4" x14ac:dyDescent="0.2">
      <c r="B606" s="5"/>
      <c r="C606" s="5"/>
      <c r="D606" s="8"/>
    </row>
    <row r="607" spans="2:4" x14ac:dyDescent="0.2">
      <c r="B607" s="5"/>
      <c r="C607" s="5"/>
      <c r="D607" s="8"/>
    </row>
    <row r="608" spans="2:4" x14ac:dyDescent="0.2">
      <c r="B608" s="5"/>
      <c r="C608" s="5"/>
    </row>
    <row r="609" spans="2:3" x14ac:dyDescent="0.2">
      <c r="B609" s="5"/>
      <c r="C609" s="5"/>
    </row>
    <row r="610" spans="2:3" x14ac:dyDescent="0.2">
      <c r="B610" s="5"/>
      <c r="C610" s="5"/>
    </row>
    <row r="611" spans="2:3" x14ac:dyDescent="0.2">
      <c r="B611" s="5"/>
      <c r="C611" s="5"/>
    </row>
    <row r="612" spans="2:3" x14ac:dyDescent="0.2">
      <c r="B612" s="5"/>
      <c r="C612" s="5"/>
    </row>
  </sheetData>
  <sortState xmlns:xlrd2="http://schemas.microsoft.com/office/spreadsheetml/2017/richdata2" ref="D464:Q469">
    <sortCondition ref="D464:D469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1E33-A57D-0141-93E7-B3A7971C82AD}">
  <sheetPr>
    <pageSetUpPr fitToPage="1"/>
  </sheetPr>
  <dimension ref="A1:AE311"/>
  <sheetViews>
    <sheetView tabSelected="1" zoomScale="75" workbookViewId="0">
      <pane ySplit="17" topLeftCell="A18" activePane="bottomLeft" state="frozen"/>
      <selection pane="bottomLeft" sqref="A1:P311"/>
    </sheetView>
  </sheetViews>
  <sheetFormatPr baseColWidth="10" defaultRowHeight="16" x14ac:dyDescent="0.2"/>
  <cols>
    <col min="1" max="1" width="21.6640625" style="1" customWidth="1"/>
    <col min="2" max="2" width="13" style="1" customWidth="1"/>
    <col min="3" max="15" width="10.83203125" style="1"/>
    <col min="16" max="16" width="25" style="1" customWidth="1"/>
    <col min="17" max="17" width="12.1640625" style="1" bestFit="1" customWidth="1"/>
    <col min="18" max="18" width="11" style="1" bestFit="1" customWidth="1"/>
    <col min="19" max="19" width="12.1640625" style="1" bestFit="1" customWidth="1"/>
    <col min="20" max="27" width="11" style="1" bestFit="1" customWidth="1"/>
    <col min="28" max="28" width="13.33203125" style="1" bestFit="1" customWidth="1"/>
    <col min="29" max="29" width="11" style="1" bestFit="1" customWidth="1"/>
    <col min="30" max="16384" width="10.83203125" style="1"/>
  </cols>
  <sheetData>
    <row r="1" spans="1:15" x14ac:dyDescent="0.2">
      <c r="A1" s="23" t="s">
        <v>0</v>
      </c>
      <c r="B1" s="23"/>
      <c r="C1" s="23"/>
      <c r="D1" s="23"/>
      <c r="E1" s="23"/>
      <c r="F1" s="23"/>
      <c r="G1" s="23"/>
    </row>
    <row r="3" spans="1:15" x14ac:dyDescent="0.2">
      <c r="A3" s="23" t="s">
        <v>1</v>
      </c>
      <c r="B3" s="1" t="s">
        <v>16</v>
      </c>
    </row>
    <row r="4" spans="1:15" x14ac:dyDescent="0.2">
      <c r="A4" s="23" t="s">
        <v>17</v>
      </c>
      <c r="B4" s="1" t="s">
        <v>83</v>
      </c>
    </row>
    <row r="5" spans="1:15" x14ac:dyDescent="0.2">
      <c r="A5" s="23" t="s">
        <v>2</v>
      </c>
      <c r="B5" s="1" t="s">
        <v>69</v>
      </c>
    </row>
    <row r="6" spans="1:15" x14ac:dyDescent="0.2">
      <c r="B6" s="1" t="s">
        <v>3</v>
      </c>
    </row>
    <row r="7" spans="1:15" x14ac:dyDescent="0.2">
      <c r="B7" s="1" t="s">
        <v>4</v>
      </c>
    </row>
    <row r="8" spans="1:15" x14ac:dyDescent="0.2">
      <c r="B8" s="1" t="s">
        <v>91</v>
      </c>
    </row>
    <row r="11" spans="1:15" ht="19" x14ac:dyDescent="0.2">
      <c r="B11" s="23" t="s">
        <v>5</v>
      </c>
      <c r="C11" s="31" t="s">
        <v>85</v>
      </c>
      <c r="D11" s="31" t="s">
        <v>86</v>
      </c>
      <c r="E11" s="31" t="s">
        <v>87</v>
      </c>
      <c r="F11" s="31" t="s">
        <v>12</v>
      </c>
      <c r="G11" s="31" t="s">
        <v>13</v>
      </c>
      <c r="H11" s="31" t="s">
        <v>14</v>
      </c>
      <c r="I11" s="31" t="s">
        <v>15</v>
      </c>
      <c r="J11" s="31" t="s">
        <v>88</v>
      </c>
      <c r="K11" s="31" t="s">
        <v>89</v>
      </c>
      <c r="L11" s="31" t="s">
        <v>90</v>
      </c>
      <c r="M11" s="32" t="s">
        <v>6</v>
      </c>
      <c r="N11" s="32" t="s">
        <v>7</v>
      </c>
      <c r="O11" s="32" t="s">
        <v>8</v>
      </c>
    </row>
    <row r="12" spans="1:15" x14ac:dyDescent="0.2">
      <c r="B12" s="33" t="s">
        <v>9</v>
      </c>
      <c r="C12" s="10">
        <v>74.099999999999994</v>
      </c>
      <c r="D12" s="10">
        <v>7.0000000000000007E-2</v>
      </c>
      <c r="E12" s="10">
        <v>13.1</v>
      </c>
      <c r="F12" s="10">
        <v>1.55</v>
      </c>
      <c r="G12" s="10">
        <v>7.0000000000000007E-2</v>
      </c>
      <c r="H12" s="10">
        <v>0.04</v>
      </c>
      <c r="I12" s="10">
        <v>0.74</v>
      </c>
      <c r="J12" s="10">
        <v>4.0599999999999996</v>
      </c>
      <c r="K12" s="10">
        <v>5.13</v>
      </c>
      <c r="L12" s="11">
        <v>0.01</v>
      </c>
      <c r="M12" s="10">
        <v>0.34</v>
      </c>
      <c r="N12" s="10">
        <v>99.09</v>
      </c>
      <c r="O12" s="12"/>
    </row>
    <row r="13" spans="1:15" x14ac:dyDescent="0.2">
      <c r="B13" s="34" t="s">
        <v>10</v>
      </c>
      <c r="C13" s="13">
        <v>0.96</v>
      </c>
      <c r="D13" s="13">
        <v>0.03</v>
      </c>
      <c r="E13" s="13">
        <v>0.34</v>
      </c>
      <c r="F13" s="13">
        <v>0.06</v>
      </c>
      <c r="G13" s="13">
        <v>0.03</v>
      </c>
      <c r="H13" s="13">
        <v>0.02</v>
      </c>
      <c r="I13" s="13">
        <v>0.05</v>
      </c>
      <c r="J13" s="13">
        <v>0.28000000000000003</v>
      </c>
      <c r="K13" s="13">
        <v>0.26</v>
      </c>
      <c r="L13" s="14">
        <v>0.02</v>
      </c>
      <c r="M13" s="13">
        <v>0.03</v>
      </c>
      <c r="N13" s="13"/>
      <c r="O13" s="15"/>
    </row>
    <row r="14" spans="1:15" x14ac:dyDescent="0.2">
      <c r="B14" s="33" t="s">
        <v>11</v>
      </c>
      <c r="C14" s="10">
        <v>75.150000000000006</v>
      </c>
      <c r="D14" s="10">
        <v>0.31</v>
      </c>
      <c r="E14" s="10">
        <v>13.14</v>
      </c>
      <c r="F14" s="10">
        <v>1.7</v>
      </c>
      <c r="G14" s="10">
        <v>0.05</v>
      </c>
      <c r="H14" s="10">
        <v>0.28999999999999998</v>
      </c>
      <c r="I14" s="10">
        <v>1.48</v>
      </c>
      <c r="J14" s="10">
        <v>3.84</v>
      </c>
      <c r="K14" s="10">
        <v>3.72</v>
      </c>
      <c r="L14" s="2"/>
      <c r="M14" s="10">
        <v>0.28000000000000003</v>
      </c>
      <c r="N14" s="10">
        <v>100</v>
      </c>
      <c r="O14" s="10">
        <v>4.12</v>
      </c>
    </row>
    <row r="15" spans="1:15" x14ac:dyDescent="0.2">
      <c r="B15" s="34" t="s">
        <v>10</v>
      </c>
      <c r="C15" s="13">
        <v>1</v>
      </c>
      <c r="D15" s="13">
        <v>0.05</v>
      </c>
      <c r="E15" s="13">
        <v>0.34</v>
      </c>
      <c r="F15" s="13">
        <v>0.14000000000000001</v>
      </c>
      <c r="G15" s="13">
        <v>0.03</v>
      </c>
      <c r="H15" s="13">
        <v>0.03</v>
      </c>
      <c r="I15" s="13">
        <v>0.05</v>
      </c>
      <c r="J15" s="13">
        <v>0.26</v>
      </c>
      <c r="K15" s="13">
        <v>0.26</v>
      </c>
      <c r="L15" s="3"/>
      <c r="M15" s="13">
        <v>0.05</v>
      </c>
      <c r="N15" s="13"/>
      <c r="O15" s="13"/>
    </row>
    <row r="17" spans="1:15" ht="19" x14ac:dyDescent="0.2">
      <c r="A17" s="23" t="s">
        <v>18</v>
      </c>
      <c r="B17" s="23" t="s">
        <v>57</v>
      </c>
      <c r="C17" s="31" t="s">
        <v>85</v>
      </c>
      <c r="D17" s="31" t="s">
        <v>86</v>
      </c>
      <c r="E17" s="31" t="s">
        <v>606</v>
      </c>
      <c r="F17" s="31" t="s">
        <v>12</v>
      </c>
      <c r="G17" s="31" t="s">
        <v>13</v>
      </c>
      <c r="H17" s="31" t="s">
        <v>14</v>
      </c>
      <c r="I17" s="31" t="s">
        <v>15</v>
      </c>
      <c r="J17" s="31" t="s">
        <v>88</v>
      </c>
      <c r="K17" s="31" t="s">
        <v>89</v>
      </c>
      <c r="L17" s="31" t="s">
        <v>90</v>
      </c>
      <c r="M17" s="32" t="s">
        <v>6</v>
      </c>
      <c r="N17" s="32" t="s">
        <v>7</v>
      </c>
      <c r="O17" s="32" t="s">
        <v>8</v>
      </c>
    </row>
    <row r="18" spans="1:15" x14ac:dyDescent="0.2">
      <c r="B18" s="23"/>
    </row>
    <row r="19" spans="1:15" x14ac:dyDescent="0.2">
      <c r="A19" s="1" t="s">
        <v>75</v>
      </c>
      <c r="B19" s="29" t="s">
        <v>23</v>
      </c>
      <c r="C19" s="17">
        <v>74.387547214154921</v>
      </c>
      <c r="D19" s="17">
        <v>0.10279338547160688</v>
      </c>
      <c r="E19" s="17">
        <v>13.364316328240516</v>
      </c>
      <c r="F19" s="17">
        <v>1.4935463046563573</v>
      </c>
      <c r="G19" s="17">
        <v>7.5089489555890163E-2</v>
      </c>
      <c r="H19" s="17">
        <v>3.0020445194604405E-2</v>
      </c>
      <c r="I19" s="17">
        <v>0.77236943907294509</v>
      </c>
      <c r="J19" s="17">
        <v>4.0264297875014492</v>
      </c>
      <c r="K19" s="17">
        <v>5.4622417831073866</v>
      </c>
      <c r="L19" s="17">
        <v>1.378221838627843E-2</v>
      </c>
      <c r="M19" s="17">
        <v>0.35171876637500959</v>
      </c>
      <c r="N19" s="17">
        <v>100.32163015827943</v>
      </c>
      <c r="O19" s="17">
        <v>-0.32163015827943298</v>
      </c>
    </row>
    <row r="20" spans="1:15" x14ac:dyDescent="0.2">
      <c r="B20" s="29" t="s">
        <v>24</v>
      </c>
      <c r="C20" s="17">
        <v>74.685436475015408</v>
      </c>
      <c r="D20" s="17">
        <v>6.9967160909252507E-2</v>
      </c>
      <c r="E20" s="17">
        <v>13.149819764017057</v>
      </c>
      <c r="F20" s="17">
        <v>1.5415914255919478</v>
      </c>
      <c r="G20" s="17">
        <v>7.493146105715473E-2</v>
      </c>
      <c r="H20" s="17">
        <v>5.8750192303904235E-2</v>
      </c>
      <c r="I20" s="17">
        <v>0.70741895878610983</v>
      </c>
      <c r="J20" s="17">
        <v>4.1620369850110945</v>
      </c>
      <c r="K20" s="17">
        <v>5.2366596155032381</v>
      </c>
      <c r="L20" s="17">
        <v>5.1612230780663571E-2</v>
      </c>
      <c r="M20" s="17">
        <v>0.3386198315887578</v>
      </c>
      <c r="N20" s="17">
        <v>100.43711805191604</v>
      </c>
      <c r="O20" s="17">
        <v>-0.43711805191604469</v>
      </c>
    </row>
    <row r="21" spans="1:15" x14ac:dyDescent="0.2">
      <c r="B21" s="29" t="s">
        <v>25</v>
      </c>
      <c r="C21" s="17">
        <v>74.698278745555712</v>
      </c>
      <c r="D21" s="17">
        <v>8.0618501188339825E-2</v>
      </c>
      <c r="E21" s="17">
        <v>13.023432698219285</v>
      </c>
      <c r="F21" s="17">
        <v>1.576149521885776</v>
      </c>
      <c r="G21" s="17">
        <v>5.8045751353195917E-2</v>
      </c>
      <c r="H21" s="17">
        <v>5.6991032254661601E-2</v>
      </c>
      <c r="I21" s="17">
        <v>0.7031130294919673</v>
      </c>
      <c r="J21" s="17">
        <v>4.2603313553662865</v>
      </c>
      <c r="K21" s="17">
        <v>5.2115744874247287</v>
      </c>
      <c r="L21" s="17">
        <v>5.4087451996156027E-2</v>
      </c>
      <c r="M21" s="17">
        <v>0.35852524280873393</v>
      </c>
      <c r="N21" s="17">
        <v>102.20730823003386</v>
      </c>
      <c r="O21" s="17">
        <v>-2.2073082300338598</v>
      </c>
    </row>
    <row r="22" spans="1:15" x14ac:dyDescent="0.2">
      <c r="B22" s="29" t="s">
        <v>26</v>
      </c>
      <c r="C22" s="17">
        <v>74.723807109466406</v>
      </c>
      <c r="D22" s="17">
        <v>6.302125423005317E-2</v>
      </c>
      <c r="E22" s="17">
        <v>13.158421441926235</v>
      </c>
      <c r="F22" s="17">
        <v>1.6416404276408874</v>
      </c>
      <c r="G22" s="17">
        <v>5.4177791776107383E-2</v>
      </c>
      <c r="H22" s="17">
        <v>4.1945814221357611E-2</v>
      </c>
      <c r="I22" s="17">
        <v>0.7086529349193782</v>
      </c>
      <c r="J22" s="17">
        <v>4.0999356701202876</v>
      </c>
      <c r="K22" s="17">
        <v>5.2522674187736795</v>
      </c>
      <c r="L22" s="17">
        <v>0</v>
      </c>
      <c r="M22" s="17">
        <v>0.33047733281352887</v>
      </c>
      <c r="N22" s="17">
        <v>101.43085976463604</v>
      </c>
      <c r="O22" s="17">
        <v>-1.4308597646360397</v>
      </c>
    </row>
    <row r="23" spans="1:15" x14ac:dyDescent="0.2">
      <c r="B23" s="29" t="s">
        <v>27</v>
      </c>
      <c r="C23" s="17">
        <v>74.6928511148094</v>
      </c>
      <c r="D23" s="17">
        <v>9.7719870085066704E-2</v>
      </c>
      <c r="E23" s="17">
        <v>13.211718451443819</v>
      </c>
      <c r="F23" s="17">
        <v>1.6123104909209807</v>
      </c>
      <c r="G23" s="17">
        <v>6.7853508116362149E-2</v>
      </c>
      <c r="H23" s="17">
        <v>3.6346422393178208E-2</v>
      </c>
      <c r="I23" s="17">
        <v>0.78298745309954099</v>
      </c>
      <c r="J23" s="17">
        <v>4.0116594003456063</v>
      </c>
      <c r="K23" s="17">
        <v>5.2370025989540334</v>
      </c>
      <c r="L23" s="17">
        <v>0</v>
      </c>
      <c r="M23" s="17">
        <v>0.32199103880943075</v>
      </c>
      <c r="N23" s="17">
        <v>100.19968294550885</v>
      </c>
      <c r="O23" s="17">
        <v>-0.19968294550885446</v>
      </c>
    </row>
    <row r="24" spans="1:15" x14ac:dyDescent="0.2">
      <c r="B24" s="29" t="s">
        <v>28</v>
      </c>
      <c r="C24" s="17">
        <v>74.392573946234592</v>
      </c>
      <c r="D24" s="17">
        <v>5.4604150882038897E-2</v>
      </c>
      <c r="E24" s="17">
        <v>13.192917554289703</v>
      </c>
      <c r="F24" s="17">
        <v>1.5508654537320179</v>
      </c>
      <c r="G24" s="17">
        <v>0.1160798533975784</v>
      </c>
      <c r="H24" s="17">
        <v>4.9157482910858807E-2</v>
      </c>
      <c r="I24" s="17">
        <v>0.73129223226574136</v>
      </c>
      <c r="J24" s="17">
        <v>4.2631415393510981</v>
      </c>
      <c r="K24" s="17">
        <v>5.353368194474065</v>
      </c>
      <c r="L24" s="17">
        <v>3.1170915671276681E-2</v>
      </c>
      <c r="M24" s="17">
        <v>0.34195301361214503</v>
      </c>
      <c r="N24" s="17">
        <v>99.657258873151974</v>
      </c>
      <c r="O24" s="17">
        <v>0.3427411268480256</v>
      </c>
    </row>
    <row r="25" spans="1:15" x14ac:dyDescent="0.2">
      <c r="B25" s="30" t="s">
        <v>20</v>
      </c>
      <c r="C25" s="16">
        <f>AVERAGE(C19:C24)</f>
        <v>74.596749100872742</v>
      </c>
      <c r="D25" s="16">
        <f t="shared" ref="D25:O25" si="0">AVERAGE(D19:D24)</f>
        <v>7.8120720461059667E-2</v>
      </c>
      <c r="E25" s="16">
        <f t="shared" si="0"/>
        <v>13.183437706356102</v>
      </c>
      <c r="F25" s="16">
        <f t="shared" si="0"/>
        <v>1.5693506040713279</v>
      </c>
      <c r="G25" s="16">
        <f t="shared" si="0"/>
        <v>7.4362975876048121E-2</v>
      </c>
      <c r="H25" s="16">
        <f t="shared" si="0"/>
        <v>4.5535231546427475E-2</v>
      </c>
      <c r="I25" s="16">
        <f t="shared" si="0"/>
        <v>0.73430567460594709</v>
      </c>
      <c r="J25" s="16">
        <f t="shared" si="0"/>
        <v>4.1372557896159705</v>
      </c>
      <c r="K25" s="16">
        <f t="shared" si="0"/>
        <v>5.2921856830395226</v>
      </c>
      <c r="L25" s="16">
        <f t="shared" si="0"/>
        <v>2.5108802805729118E-2</v>
      </c>
      <c r="M25" s="16">
        <f t="shared" si="0"/>
        <v>0.34054753766793433</v>
      </c>
      <c r="N25" s="16">
        <f t="shared" si="0"/>
        <v>100.70897633725438</v>
      </c>
      <c r="O25" s="16">
        <f t="shared" si="0"/>
        <v>-0.70897633725436771</v>
      </c>
    </row>
    <row r="26" spans="1:15" x14ac:dyDescent="0.2">
      <c r="B26" s="30" t="s">
        <v>61</v>
      </c>
      <c r="C26" s="16">
        <f t="shared" ref="C26:O26" si="1">STDEV(C19:C24)</f>
        <v>0.16062750504820103</v>
      </c>
      <c r="D26" s="16">
        <f t="shared" si="1"/>
        <v>1.9217749253539387E-2</v>
      </c>
      <c r="E26" s="16">
        <f t="shared" si="1"/>
        <v>0.11042130779552004</v>
      </c>
      <c r="F26" s="16">
        <f t="shared" si="1"/>
        <v>5.286995429544479E-2</v>
      </c>
      <c r="G26" s="16">
        <f t="shared" si="1"/>
        <v>2.216851601468426E-2</v>
      </c>
      <c r="H26" s="16">
        <f t="shared" si="1"/>
        <v>1.1463140831086552E-2</v>
      </c>
      <c r="I26" s="16">
        <f t="shared" si="1"/>
        <v>3.5161871985565349E-2</v>
      </c>
      <c r="J26" s="16">
        <f t="shared" si="1"/>
        <v>0.110506625663767</v>
      </c>
      <c r="K26" s="16">
        <f t="shared" si="1"/>
        <v>9.6832150137651826E-2</v>
      </c>
      <c r="L26" s="16">
        <f t="shared" si="1"/>
        <v>2.4364476136391401E-2</v>
      </c>
      <c r="M26" s="16">
        <f t="shared" si="1"/>
        <v>1.3412220711038871E-2</v>
      </c>
      <c r="N26" s="16">
        <f t="shared" si="1"/>
        <v>0.93333247200509184</v>
      </c>
      <c r="O26" s="16">
        <f t="shared" si="1"/>
        <v>0.93333247200509184</v>
      </c>
    </row>
    <row r="27" spans="1:15" x14ac:dyDescent="0.2">
      <c r="B27" s="2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">
      <c r="A28" s="1" t="s">
        <v>75</v>
      </c>
      <c r="B28" s="29" t="s">
        <v>29</v>
      </c>
      <c r="C28" s="17">
        <v>74.96057058201977</v>
      </c>
      <c r="D28" s="17">
        <v>0.32400812059171974</v>
      </c>
      <c r="E28" s="17">
        <v>13.315124005788698</v>
      </c>
      <c r="F28" s="17">
        <v>1.6535979024592842</v>
      </c>
      <c r="G28" s="17">
        <v>4.068848602089617E-2</v>
      </c>
      <c r="H28" s="17">
        <v>0.30819390471281205</v>
      </c>
      <c r="I28" s="17">
        <v>1.5048748250537269</v>
      </c>
      <c r="J28" s="17">
        <v>3.956074412457891</v>
      </c>
      <c r="K28" s="17">
        <v>3.7390351311745942</v>
      </c>
      <c r="L28" s="17">
        <v>2.1635977236792413E-2</v>
      </c>
      <c r="M28" s="17">
        <v>0.22764805386908138</v>
      </c>
      <c r="N28" s="17">
        <v>100</v>
      </c>
      <c r="O28" s="17">
        <v>3.9851225235154573</v>
      </c>
    </row>
    <row r="29" spans="1:15" x14ac:dyDescent="0.2">
      <c r="B29" s="29" t="s">
        <v>30</v>
      </c>
      <c r="C29" s="17">
        <v>75.218037611062655</v>
      </c>
      <c r="D29" s="17">
        <v>0.28534526769630919</v>
      </c>
      <c r="E29" s="17">
        <v>13.172413689299963</v>
      </c>
      <c r="F29" s="17">
        <v>1.680545325494601</v>
      </c>
      <c r="G29" s="17">
        <v>0</v>
      </c>
      <c r="H29" s="17">
        <v>0.27632978741676384</v>
      </c>
      <c r="I29" s="17">
        <v>1.5509232473579027</v>
      </c>
      <c r="J29" s="17">
        <v>3.6076555612620882</v>
      </c>
      <c r="K29" s="17">
        <v>3.7976723638841068</v>
      </c>
      <c r="L29" s="17">
        <v>0.14568532765074416</v>
      </c>
      <c r="M29" s="17">
        <v>0.34262194154517356</v>
      </c>
      <c r="N29" s="17">
        <v>100</v>
      </c>
      <c r="O29" s="17">
        <v>5.0189259530847465</v>
      </c>
    </row>
    <row r="30" spans="1:15" x14ac:dyDescent="0.2">
      <c r="B30" s="29" t="s">
        <v>31</v>
      </c>
      <c r="C30" s="17">
        <v>74.829397724456825</v>
      </c>
      <c r="D30" s="17">
        <v>0.27383434823616443</v>
      </c>
      <c r="E30" s="17">
        <v>13.240933492402689</v>
      </c>
      <c r="F30" s="17">
        <v>1.7391851915060139</v>
      </c>
      <c r="G30" s="17">
        <v>4.0877845930438084E-2</v>
      </c>
      <c r="H30" s="17">
        <v>0.30655924008366003</v>
      </c>
      <c r="I30" s="17">
        <v>1.5841340605240974</v>
      </c>
      <c r="J30" s="17">
        <v>3.9008330737102774</v>
      </c>
      <c r="K30" s="17">
        <v>3.8401596835591914</v>
      </c>
      <c r="L30" s="17">
        <v>6.5181027792950749E-2</v>
      </c>
      <c r="M30" s="17">
        <v>0.23103840652044949</v>
      </c>
      <c r="N30" s="17">
        <v>100</v>
      </c>
      <c r="O30" s="17">
        <v>4.4886071872780207</v>
      </c>
    </row>
    <row r="31" spans="1:15" x14ac:dyDescent="0.2">
      <c r="B31" s="29" t="s">
        <v>32</v>
      </c>
      <c r="C31" s="17">
        <v>74.713952750038615</v>
      </c>
      <c r="D31" s="17">
        <v>0.35601850436710752</v>
      </c>
      <c r="E31" s="17">
        <v>13.331409094264796</v>
      </c>
      <c r="F31" s="17">
        <v>1.7761629806574954</v>
      </c>
      <c r="G31" s="17">
        <v>0.10191405015715958</v>
      </c>
      <c r="H31" s="17">
        <v>0.32178794975152558</v>
      </c>
      <c r="I31" s="17">
        <v>1.587108823380631</v>
      </c>
      <c r="J31" s="17">
        <v>3.8696752921263586</v>
      </c>
      <c r="K31" s="17">
        <v>3.7270920460038437</v>
      </c>
      <c r="L31" s="17">
        <v>0</v>
      </c>
      <c r="M31" s="17">
        <v>0.27754173081407413</v>
      </c>
      <c r="N31" s="17">
        <v>100</v>
      </c>
      <c r="O31" s="17">
        <v>3.551080691601129</v>
      </c>
    </row>
    <row r="32" spans="1:15" x14ac:dyDescent="0.2">
      <c r="B32" s="29" t="s">
        <v>33</v>
      </c>
      <c r="C32" s="17">
        <v>75.206129030619138</v>
      </c>
      <c r="D32" s="17">
        <v>0.35956741066975983</v>
      </c>
      <c r="E32" s="17">
        <v>13.216267979501584</v>
      </c>
      <c r="F32" s="17">
        <v>1.7517751194773623</v>
      </c>
      <c r="G32" s="17">
        <v>4.2308197242994082E-2</v>
      </c>
      <c r="H32" s="17">
        <v>0.33983808036476726</v>
      </c>
      <c r="I32" s="17">
        <v>1.5187282221787601</v>
      </c>
      <c r="J32" s="17">
        <v>3.6427970382515387</v>
      </c>
      <c r="K32" s="17">
        <v>3.7225966077907535</v>
      </c>
      <c r="L32" s="17">
        <v>0</v>
      </c>
      <c r="M32" s="17">
        <v>0.25826251569001274</v>
      </c>
      <c r="N32" s="17">
        <v>100</v>
      </c>
      <c r="O32" s="17">
        <v>4.3353235602535847</v>
      </c>
    </row>
    <row r="33" spans="1:30" x14ac:dyDescent="0.2">
      <c r="B33" s="29" t="s">
        <v>34</v>
      </c>
      <c r="C33" s="17">
        <v>75.005302119335553</v>
      </c>
      <c r="D33" s="17">
        <v>0.27499618591339514</v>
      </c>
      <c r="E33" s="17">
        <v>13.104553913280906</v>
      </c>
      <c r="F33" s="17">
        <v>1.7657189111246689</v>
      </c>
      <c r="G33" s="17">
        <v>6.1654690007828625E-2</v>
      </c>
      <c r="H33" s="17">
        <v>0.29803710402957495</v>
      </c>
      <c r="I33" s="17">
        <v>1.5030622019269686</v>
      </c>
      <c r="J33" s="17">
        <v>3.987716852562738</v>
      </c>
      <c r="K33" s="17">
        <v>3.6916447613832144</v>
      </c>
      <c r="L33" s="17">
        <v>5.9709455202517511E-2</v>
      </c>
      <c r="M33" s="17">
        <v>0.31975684296336904</v>
      </c>
      <c r="N33" s="17">
        <v>100</v>
      </c>
      <c r="O33" s="17">
        <v>1.5273615157404095</v>
      </c>
    </row>
    <row r="34" spans="1:30" x14ac:dyDescent="0.2">
      <c r="B34" s="30" t="s">
        <v>20</v>
      </c>
      <c r="C34" s="16">
        <f>AVERAGE(C28:C33)</f>
        <v>74.988898302922095</v>
      </c>
      <c r="D34" s="16">
        <f t="shared" ref="D34:O34" si="2">AVERAGE(D28:D33)</f>
        <v>0.31229497291240932</v>
      </c>
      <c r="E34" s="16">
        <f t="shared" si="2"/>
        <v>13.230117029089774</v>
      </c>
      <c r="F34" s="16">
        <f t="shared" si="2"/>
        <v>1.7278309051199041</v>
      </c>
      <c r="G34" s="16">
        <f t="shared" si="2"/>
        <v>4.7907211559886087E-2</v>
      </c>
      <c r="H34" s="16">
        <f t="shared" si="2"/>
        <v>0.30845767772651728</v>
      </c>
      <c r="I34" s="16">
        <f t="shared" si="2"/>
        <v>1.5414718967370147</v>
      </c>
      <c r="J34" s="16">
        <f t="shared" si="2"/>
        <v>3.8274587050618156</v>
      </c>
      <c r="K34" s="16">
        <f t="shared" si="2"/>
        <v>3.7530334322992842</v>
      </c>
      <c r="L34" s="16">
        <f t="shared" si="2"/>
        <v>4.8701964647167473E-2</v>
      </c>
      <c r="M34" s="16">
        <f t="shared" si="2"/>
        <v>0.27614491523369339</v>
      </c>
      <c r="N34" s="16">
        <f t="shared" si="2"/>
        <v>100</v>
      </c>
      <c r="O34" s="16">
        <f t="shared" si="2"/>
        <v>3.8177369052455581</v>
      </c>
    </row>
    <row r="35" spans="1:30" x14ac:dyDescent="0.2">
      <c r="B35" s="30" t="s">
        <v>61</v>
      </c>
      <c r="C35" s="16">
        <f>STDEV(C28:C33)</f>
        <v>0.20089850578664148</v>
      </c>
      <c r="D35" s="16">
        <f t="shared" ref="D35:O35" si="3">STDEV(D28:D33)</f>
        <v>3.9699708251495838E-2</v>
      </c>
      <c r="E35" s="16">
        <f t="shared" si="3"/>
        <v>8.5896253797866667E-2</v>
      </c>
      <c r="F35" s="16">
        <f t="shared" si="3"/>
        <v>4.9437233882640978E-2</v>
      </c>
      <c r="G35" s="16">
        <f t="shared" si="3"/>
        <v>3.3267712994051075E-2</v>
      </c>
      <c r="H35" s="16">
        <f t="shared" si="3"/>
        <v>2.1479707426382402E-2</v>
      </c>
      <c r="I35" s="16">
        <f t="shared" si="3"/>
        <v>3.8272816370458103E-2</v>
      </c>
      <c r="J35" s="16">
        <f t="shared" si="3"/>
        <v>0.16236013392502002</v>
      </c>
      <c r="K35" s="16">
        <f t="shared" si="3"/>
        <v>5.5040884861982949E-2</v>
      </c>
      <c r="L35" s="16">
        <f t="shared" si="3"/>
        <v>5.5271742265752481E-2</v>
      </c>
      <c r="M35" s="16">
        <f t="shared" si="3"/>
        <v>4.6966944259207367E-2</v>
      </c>
      <c r="N35" s="16">
        <f t="shared" si="3"/>
        <v>0</v>
      </c>
      <c r="O35" s="16">
        <f t="shared" si="3"/>
        <v>1.2252151578996373</v>
      </c>
    </row>
    <row r="36" spans="1:30" x14ac:dyDescent="0.2">
      <c r="B36" s="23"/>
    </row>
    <row r="37" spans="1:30" x14ac:dyDescent="0.2">
      <c r="A37" s="1" t="s">
        <v>75</v>
      </c>
      <c r="B37" s="29" t="s">
        <v>94</v>
      </c>
      <c r="C37" s="17">
        <v>75.019713661557205</v>
      </c>
      <c r="D37" s="17">
        <v>0.5706814582970311</v>
      </c>
      <c r="E37" s="17">
        <v>13.263273232168727</v>
      </c>
      <c r="F37" s="17">
        <v>2.1181686795227748</v>
      </c>
      <c r="G37" s="17">
        <v>5.6035533065294893E-2</v>
      </c>
      <c r="H37" s="17">
        <v>0.21772163000655481</v>
      </c>
      <c r="I37" s="17">
        <v>2.575524313292751</v>
      </c>
      <c r="J37" s="17">
        <v>3.4818331226330641</v>
      </c>
      <c r="K37" s="17">
        <v>2.4331304992798684</v>
      </c>
      <c r="L37" s="17">
        <v>3.535849001195223E-2</v>
      </c>
      <c r="M37" s="17">
        <v>0.29516913146950807</v>
      </c>
      <c r="N37" s="17">
        <v>100</v>
      </c>
      <c r="O37" s="17">
        <v>2.8580669758753317</v>
      </c>
      <c r="Q37" s="26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x14ac:dyDescent="0.2">
      <c r="A38" s="1" t="s">
        <v>77</v>
      </c>
      <c r="B38" s="29" t="s">
        <v>95</v>
      </c>
      <c r="C38" s="17">
        <v>75.113178550301512</v>
      </c>
      <c r="D38" s="17">
        <v>0.38922704794139013</v>
      </c>
      <c r="E38" s="17">
        <v>13.035833393832943</v>
      </c>
      <c r="F38" s="17">
        <v>2.0072668435843788</v>
      </c>
      <c r="G38" s="17">
        <v>6.6384266659908153E-2</v>
      </c>
      <c r="H38" s="17">
        <v>0.53898184429344143</v>
      </c>
      <c r="I38" s="17">
        <v>2.3121357376270537</v>
      </c>
      <c r="J38" s="17">
        <v>4.0483591024014141</v>
      </c>
      <c r="K38" s="17">
        <v>2.163899575127914</v>
      </c>
      <c r="L38" s="17">
        <v>4.849476238023407E-2</v>
      </c>
      <c r="M38" s="17">
        <v>0.35679313996033607</v>
      </c>
      <c r="N38" s="17">
        <v>100</v>
      </c>
      <c r="O38" s="17">
        <v>0.75509858755567905</v>
      </c>
      <c r="Q38" s="26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x14ac:dyDescent="0.2">
      <c r="A39" s="1" t="s">
        <v>78</v>
      </c>
      <c r="B39" s="29" t="s">
        <v>96</v>
      </c>
      <c r="C39" s="17">
        <v>75.461664609842288</v>
      </c>
      <c r="D39" s="17">
        <v>0.45144886365746423</v>
      </c>
      <c r="E39" s="17">
        <v>12.725818676109993</v>
      </c>
      <c r="F39" s="17">
        <v>1.9891447689436479</v>
      </c>
      <c r="G39" s="17">
        <v>9.0581907755064861E-2</v>
      </c>
      <c r="H39" s="17">
        <v>0.47614800770600141</v>
      </c>
      <c r="I39" s="17">
        <v>2.0159026177583814</v>
      </c>
      <c r="J39" s="17">
        <v>3.5651901630997713</v>
      </c>
      <c r="K39" s="17">
        <v>2.904898843349474</v>
      </c>
      <c r="L39" s="17">
        <v>9.6581420520527955E-2</v>
      </c>
      <c r="M39" s="17">
        <v>0.28757555175593624</v>
      </c>
      <c r="N39" s="17">
        <v>100</v>
      </c>
      <c r="O39" s="17">
        <v>0.25160405727059754</v>
      </c>
      <c r="Q39" s="26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x14ac:dyDescent="0.2">
      <c r="B40" s="29" t="s">
        <v>97</v>
      </c>
      <c r="C40" s="17">
        <v>75.674318584888496</v>
      </c>
      <c r="D40" s="17">
        <v>0.41432972733854762</v>
      </c>
      <c r="E40" s="17">
        <v>13.154397803799958</v>
      </c>
      <c r="F40" s="17">
        <v>1.8888243188778921</v>
      </c>
      <c r="G40" s="17">
        <v>4.2374167699235452E-2</v>
      </c>
      <c r="H40" s="17">
        <v>0.44709412109006097</v>
      </c>
      <c r="I40" s="17">
        <v>2.1286955027221977</v>
      </c>
      <c r="J40" s="17">
        <v>3.7528390239879492</v>
      </c>
      <c r="K40" s="17">
        <v>2.2146429703821569</v>
      </c>
      <c r="L40" s="17">
        <v>4.2115025552090929E-2</v>
      </c>
      <c r="M40" s="17">
        <v>0.31044546049876154</v>
      </c>
      <c r="N40" s="17">
        <v>100</v>
      </c>
      <c r="O40" s="17">
        <v>1.9331770833819348</v>
      </c>
      <c r="Q40" s="26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x14ac:dyDescent="0.2">
      <c r="B41" s="29" t="s">
        <v>98</v>
      </c>
      <c r="C41" s="17">
        <v>75.677283125305252</v>
      </c>
      <c r="D41" s="17">
        <v>0.45212884867407632</v>
      </c>
      <c r="E41" s="17">
        <v>13.378243982037144</v>
      </c>
      <c r="F41" s="17">
        <v>1.8390917704189955</v>
      </c>
      <c r="G41" s="17">
        <v>5.4663079898378659E-2</v>
      </c>
      <c r="H41" s="17">
        <v>0.44470218183871868</v>
      </c>
      <c r="I41" s="17">
        <v>2.039966247135141</v>
      </c>
      <c r="J41" s="17">
        <v>3.6012153533786533</v>
      </c>
      <c r="K41" s="17">
        <v>2.2160691781253044</v>
      </c>
      <c r="L41" s="17">
        <v>8.2941050511562059E-2</v>
      </c>
      <c r="M41" s="17">
        <v>0.27601691859765554</v>
      </c>
      <c r="N41" s="17">
        <v>100</v>
      </c>
      <c r="O41" s="17">
        <v>0.42639364414146996</v>
      </c>
      <c r="Q41" s="26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x14ac:dyDescent="0.2">
      <c r="B42" s="29" t="s">
        <v>99</v>
      </c>
      <c r="C42" s="17">
        <v>76.133533361490279</v>
      </c>
      <c r="D42" s="17">
        <v>0.31747170748952547</v>
      </c>
      <c r="E42" s="17">
        <v>12.740521514046163</v>
      </c>
      <c r="F42" s="17">
        <v>1.7804047739445525</v>
      </c>
      <c r="G42" s="17">
        <v>6.8664600262572706E-2</v>
      </c>
      <c r="H42" s="17">
        <v>0.37924813422931358</v>
      </c>
      <c r="I42" s="17">
        <v>1.8348251232971506</v>
      </c>
      <c r="J42" s="17">
        <v>3.8487835213168733</v>
      </c>
      <c r="K42" s="17">
        <v>2.62690492635685</v>
      </c>
      <c r="L42" s="17">
        <v>8.4233543134712582E-2</v>
      </c>
      <c r="M42" s="17">
        <v>0.23954879851984459</v>
      </c>
      <c r="N42" s="17">
        <v>100</v>
      </c>
      <c r="O42" s="17">
        <v>1.9043295345381068</v>
      </c>
      <c r="Q42" s="26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x14ac:dyDescent="0.2">
      <c r="B43" s="29" t="s">
        <v>100</v>
      </c>
      <c r="C43" s="17">
        <v>76.324017381639138</v>
      </c>
      <c r="D43" s="17">
        <v>0.42334442602447392</v>
      </c>
      <c r="E43" s="17">
        <v>12.931384152703099</v>
      </c>
      <c r="F43" s="17">
        <v>1.8555677044474639</v>
      </c>
      <c r="G43" s="17">
        <v>6.4254800161084633E-2</v>
      </c>
      <c r="H43" s="17">
        <v>0.38062394764369295</v>
      </c>
      <c r="I43" s="17">
        <v>1.9734399002912553</v>
      </c>
      <c r="J43" s="17">
        <v>3.6486591016261132</v>
      </c>
      <c r="K43" s="17">
        <v>2.1593367337116249</v>
      </c>
      <c r="L43" s="17">
        <v>3.5116982307710418E-2</v>
      </c>
      <c r="M43" s="17">
        <v>0.26381045770463285</v>
      </c>
      <c r="N43" s="17">
        <v>100</v>
      </c>
      <c r="O43" s="17">
        <v>1.7707628974523431</v>
      </c>
      <c r="Q43" s="26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x14ac:dyDescent="0.2">
      <c r="A44" s="1" t="s">
        <v>608</v>
      </c>
      <c r="B44" s="29" t="s">
        <v>101</v>
      </c>
      <c r="C44" s="17">
        <v>76.369014562526942</v>
      </c>
      <c r="D44" s="17">
        <v>0.31022897767731145</v>
      </c>
      <c r="E44" s="17">
        <v>12.517800812912816</v>
      </c>
      <c r="F44" s="17">
        <v>1.8213833714928513</v>
      </c>
      <c r="G44" s="17">
        <v>9.9450617507954989E-2</v>
      </c>
      <c r="H44" s="17">
        <v>0.37774307240573174</v>
      </c>
      <c r="I44" s="17">
        <v>1.9335103022755022</v>
      </c>
      <c r="J44" s="17">
        <v>3.1566106296832936</v>
      </c>
      <c r="K44" s="17">
        <v>3.0223915622640862</v>
      </c>
      <c r="L44" s="17">
        <v>8.9043373864411635E-2</v>
      </c>
      <c r="M44" s="41"/>
      <c r="N44" s="17">
        <v>100</v>
      </c>
      <c r="O44" s="41">
        <v>3.3520329903314519</v>
      </c>
      <c r="P44" s="1" t="s">
        <v>582</v>
      </c>
      <c r="Q44" s="2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x14ac:dyDescent="0.2">
      <c r="B45" s="29" t="s">
        <v>102</v>
      </c>
      <c r="C45" s="17">
        <v>76.633718929172431</v>
      </c>
      <c r="D45" s="17">
        <v>0.37069153000759097</v>
      </c>
      <c r="E45" s="17">
        <v>12.413628817894386</v>
      </c>
      <c r="F45" s="17">
        <v>1.8759646791076421</v>
      </c>
      <c r="G45" s="17">
        <v>4.8062022436838464E-2</v>
      </c>
      <c r="H45" s="17">
        <v>0.42162389644483872</v>
      </c>
      <c r="I45" s="17">
        <v>1.9187901532318623</v>
      </c>
      <c r="J45" s="17">
        <v>3.549827909360443</v>
      </c>
      <c r="K45" s="17">
        <v>2.5629796886539693</v>
      </c>
      <c r="L45" s="17">
        <v>3.5005822098621422E-2</v>
      </c>
      <c r="M45" s="17">
        <v>0.21905961984452879</v>
      </c>
      <c r="N45" s="17">
        <v>100</v>
      </c>
      <c r="O45" s="17">
        <v>1.4752238896526677</v>
      </c>
      <c r="Q45" s="2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x14ac:dyDescent="0.2">
      <c r="B46" s="29" t="s">
        <v>103</v>
      </c>
      <c r="C46" s="17">
        <v>76.749457414552907</v>
      </c>
      <c r="D46" s="17">
        <v>0.32551355351530076</v>
      </c>
      <c r="E46" s="17">
        <v>12.52090861377712</v>
      </c>
      <c r="F46" s="17">
        <v>1.8052659217866818</v>
      </c>
      <c r="G46" s="17">
        <v>6.07493581937271E-2</v>
      </c>
      <c r="H46" s="17">
        <v>0.40139702253721776</v>
      </c>
      <c r="I46" s="17">
        <v>1.7844616790002557</v>
      </c>
      <c r="J46" s="17">
        <v>3.9580069111615228</v>
      </c>
      <c r="K46" s="17">
        <v>2.1800263845471473</v>
      </c>
      <c r="L46" s="17">
        <v>3.4798549691749836E-2</v>
      </c>
      <c r="M46" s="17">
        <v>0.23173615281474041</v>
      </c>
      <c r="N46" s="17">
        <v>100</v>
      </c>
      <c r="O46" s="17">
        <v>0.89936455293040751</v>
      </c>
      <c r="Q46" s="26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x14ac:dyDescent="0.2">
      <c r="B47" s="29" t="s">
        <v>104</v>
      </c>
      <c r="C47" s="17">
        <v>76.800317249034549</v>
      </c>
      <c r="D47" s="17">
        <v>0.34575093182968009</v>
      </c>
      <c r="E47" s="17">
        <v>12.415698031843945</v>
      </c>
      <c r="F47" s="17">
        <v>1.8158952698852693</v>
      </c>
      <c r="G47" s="17">
        <v>1.4558777708136831E-2</v>
      </c>
      <c r="H47" s="17">
        <v>0.40723992795806652</v>
      </c>
      <c r="I47" s="17">
        <v>1.8335974612376003</v>
      </c>
      <c r="J47" s="17">
        <v>3.8623628607806508</v>
      </c>
      <c r="K47" s="17">
        <v>2.2963887090965285</v>
      </c>
      <c r="L47" s="17">
        <v>3.5025640793673679E-2</v>
      </c>
      <c r="M47" s="17">
        <v>0.22369928733564542</v>
      </c>
      <c r="N47" s="17">
        <v>100</v>
      </c>
      <c r="O47" s="17">
        <v>1.4409019242019667</v>
      </c>
      <c r="Q47" s="26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0" x14ac:dyDescent="0.2">
      <c r="B48" s="29" t="s">
        <v>105</v>
      </c>
      <c r="C48" s="17">
        <v>76.810042393222844</v>
      </c>
      <c r="D48" s="17">
        <v>0.45501319189758743</v>
      </c>
      <c r="E48" s="17">
        <v>12.146422342760872</v>
      </c>
      <c r="F48" s="17">
        <v>1.8734457323889724</v>
      </c>
      <c r="G48" s="17">
        <v>6.1313636967140567E-2</v>
      </c>
      <c r="H48" s="17">
        <v>0.15316381112613575</v>
      </c>
      <c r="I48" s="17">
        <v>1.1362650519897841</v>
      </c>
      <c r="J48" s="17">
        <v>3.7372689614406887</v>
      </c>
      <c r="K48" s="17">
        <v>3.4335239077493878</v>
      </c>
      <c r="L48" s="17">
        <v>0.11988806345582532</v>
      </c>
      <c r="M48" s="17">
        <v>9.4799550956684964E-2</v>
      </c>
      <c r="N48" s="17">
        <v>100</v>
      </c>
      <c r="O48" s="17">
        <v>-0.59752291819806658</v>
      </c>
      <c r="Q48" s="26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1:30" x14ac:dyDescent="0.2">
      <c r="B49" s="29" t="s">
        <v>106</v>
      </c>
      <c r="C49" s="17">
        <v>77.328442302347653</v>
      </c>
      <c r="D49" s="17">
        <v>0.34626873322258617</v>
      </c>
      <c r="E49" s="17">
        <v>12.545927381122871</v>
      </c>
      <c r="F49" s="17">
        <v>1.7230125055242087</v>
      </c>
      <c r="G49" s="17">
        <v>1.6608605729906439E-2</v>
      </c>
      <c r="H49" s="17">
        <v>0.41983256524778212</v>
      </c>
      <c r="I49" s="17">
        <v>1.8627684487798624</v>
      </c>
      <c r="J49" s="17">
        <v>3.2281404104177023</v>
      </c>
      <c r="K49" s="17">
        <v>2.1889150196103344</v>
      </c>
      <c r="L49" s="17">
        <v>1.0892594115295676E-2</v>
      </c>
      <c r="M49" s="41"/>
      <c r="N49" s="17">
        <v>100</v>
      </c>
      <c r="O49" s="41">
        <v>5.0552451154560032</v>
      </c>
      <c r="P49" s="1" t="s">
        <v>582</v>
      </c>
      <c r="Q49" s="26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spans="1:30" x14ac:dyDescent="0.2">
      <c r="B50" s="29" t="s">
        <v>108</v>
      </c>
      <c r="C50" s="17">
        <v>77.581825574191654</v>
      </c>
      <c r="D50" s="17">
        <v>0.34963581332219817</v>
      </c>
      <c r="E50" s="17">
        <v>12.414546095574691</v>
      </c>
      <c r="F50" s="17">
        <v>1.8105366609950619</v>
      </c>
      <c r="G50" s="17">
        <v>2.3893155422926127E-2</v>
      </c>
      <c r="H50" s="17">
        <v>0.31675720664235907</v>
      </c>
      <c r="I50" s="17">
        <v>1.2771965869762398</v>
      </c>
      <c r="J50" s="17">
        <v>3.1729672950674774</v>
      </c>
      <c r="K50" s="17">
        <v>2.6873654706197505</v>
      </c>
      <c r="L50" s="17">
        <v>0.15808582111328254</v>
      </c>
      <c r="M50" s="17">
        <v>0.26761375623608519</v>
      </c>
      <c r="N50" s="17">
        <v>100</v>
      </c>
      <c r="O50" s="17">
        <v>3.9892404584266501</v>
      </c>
      <c r="Q50" s="26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spans="1:30" x14ac:dyDescent="0.2">
      <c r="B51" s="29" t="s">
        <v>109</v>
      </c>
      <c r="C51" s="17">
        <v>77.707432441687615</v>
      </c>
      <c r="D51" s="17">
        <v>0.35403198725439577</v>
      </c>
      <c r="E51" s="17">
        <v>12.85670193568842</v>
      </c>
      <c r="F51" s="17">
        <v>1.7457897744459567</v>
      </c>
      <c r="G51" s="17">
        <v>7.1044737431211688E-2</v>
      </c>
      <c r="H51" s="17">
        <v>0.40213397250410648</v>
      </c>
      <c r="I51" s="17">
        <v>1.9295826401637259</v>
      </c>
      <c r="J51" s="17">
        <v>2.5377441615568537</v>
      </c>
      <c r="K51" s="17">
        <v>2.2209624067124949</v>
      </c>
      <c r="L51" s="17">
        <v>0</v>
      </c>
      <c r="M51" s="17">
        <v>0.22551959590658607</v>
      </c>
      <c r="N51" s="17">
        <v>100</v>
      </c>
      <c r="O51" s="17">
        <v>1.1496100355110599</v>
      </c>
      <c r="Q51" s="2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spans="1:30" x14ac:dyDescent="0.2">
      <c r="B52" s="29" t="s">
        <v>110</v>
      </c>
      <c r="C52" s="17">
        <v>77.783792580917378</v>
      </c>
      <c r="D52" s="17">
        <v>0.56146046013773254</v>
      </c>
      <c r="E52" s="17">
        <v>12.092866057340611</v>
      </c>
      <c r="F52" s="17">
        <v>1.3867737656799362</v>
      </c>
      <c r="G52" s="17">
        <v>1.1402362073368363E-2</v>
      </c>
      <c r="H52" s="17">
        <v>0.12773429010734505</v>
      </c>
      <c r="I52" s="17">
        <v>1.3080833268506575</v>
      </c>
      <c r="J52" s="17">
        <v>3.7782874919137872</v>
      </c>
      <c r="K52" s="17">
        <v>2.5971737668387727</v>
      </c>
      <c r="L52" s="17">
        <v>0.15766420935853565</v>
      </c>
      <c r="M52" s="17">
        <v>0.25101996903087814</v>
      </c>
      <c r="N52" s="17">
        <v>100</v>
      </c>
      <c r="O52" s="17">
        <v>-0.59319223680515165</v>
      </c>
      <c r="Q52" s="2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spans="1:30" x14ac:dyDescent="0.2">
      <c r="B53" s="29" t="s">
        <v>112</v>
      </c>
      <c r="C53" s="17">
        <v>78.181065920369875</v>
      </c>
      <c r="D53" s="17">
        <v>0.36735493836573874</v>
      </c>
      <c r="E53" s="17">
        <v>13.034879550002618</v>
      </c>
      <c r="F53" s="17">
        <v>1.4357657163143382</v>
      </c>
      <c r="G53" s="17">
        <v>7.3087842509871215E-2</v>
      </c>
      <c r="H53" s="17">
        <v>0.23713039515151729</v>
      </c>
      <c r="I53" s="17">
        <v>0.76681241505473319</v>
      </c>
      <c r="J53" s="17">
        <v>2.9201935163643289</v>
      </c>
      <c r="K53" s="17">
        <v>2.7936598771153234</v>
      </c>
      <c r="L53" s="17">
        <v>1.761515451140535E-2</v>
      </c>
      <c r="M53" s="17">
        <v>0.2226672253915758</v>
      </c>
      <c r="N53" s="17">
        <v>100</v>
      </c>
      <c r="O53" s="17">
        <v>1.8126715256265555</v>
      </c>
      <c r="Q53" s="26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spans="1:30" x14ac:dyDescent="0.2">
      <c r="B54" s="29" t="s">
        <v>113</v>
      </c>
      <c r="C54" s="17">
        <v>79.096135558265658</v>
      </c>
      <c r="D54" s="17">
        <v>0.52183574875585848</v>
      </c>
      <c r="E54" s="17">
        <v>10.740960774138019</v>
      </c>
      <c r="F54" s="17">
        <v>1.8902261975063945</v>
      </c>
      <c r="G54" s="17">
        <v>0</v>
      </c>
      <c r="H54" s="17">
        <v>0.11752859166807395</v>
      </c>
      <c r="I54" s="17">
        <v>0.72902021069151612</v>
      </c>
      <c r="J54" s="17">
        <v>3.3703231631829431</v>
      </c>
      <c r="K54" s="17">
        <v>3.3444024143313227</v>
      </c>
      <c r="L54" s="17">
        <v>7.6667743337082137E-2</v>
      </c>
      <c r="M54" s="17">
        <v>0.14576989354188588</v>
      </c>
      <c r="N54" s="17">
        <v>100</v>
      </c>
      <c r="O54" s="17">
        <v>0.92878818045981859</v>
      </c>
      <c r="Q54" s="26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spans="1:30" x14ac:dyDescent="0.2">
      <c r="B55" s="30" t="s">
        <v>20</v>
      </c>
      <c r="C55" s="16">
        <f t="shared" ref="C55:L55" si="4">AVERAGE(C37:C54)</f>
        <v>76.691386344517426</v>
      </c>
      <c r="D55" s="16">
        <f t="shared" si="4"/>
        <v>0.40702321918936052</v>
      </c>
      <c r="E55" s="16">
        <f t="shared" si="4"/>
        <v>12.607211842653022</v>
      </c>
      <c r="F55" s="16">
        <f t="shared" si="4"/>
        <v>1.8145849141592789</v>
      </c>
      <c r="G55" s="16">
        <f t="shared" si="4"/>
        <v>5.1284970637923394E-2</v>
      </c>
      <c r="H55" s="16">
        <f t="shared" si="4"/>
        <v>0.3481558121444977</v>
      </c>
      <c r="I55" s="16">
        <f t="shared" si="4"/>
        <v>1.7422543176875369</v>
      </c>
      <c r="J55" s="16">
        <f t="shared" si="4"/>
        <v>3.5121451499651961</v>
      </c>
      <c r="K55" s="16">
        <f t="shared" si="4"/>
        <v>2.558148440770684</v>
      </c>
      <c r="L55" s="16">
        <f t="shared" si="4"/>
        <v>6.4418235931037418E-2</v>
      </c>
      <c r="M55" s="16">
        <f>AVERAGE(M50:M54,M45:M48,M37:M43)</f>
        <v>0.24445278184783031</v>
      </c>
      <c r="N55" s="16">
        <f>AVERAGE(N37:N54)</f>
        <v>100</v>
      </c>
      <c r="O55" s="16">
        <f>AVERAGE(O37:O54)</f>
        <v>1.6006553498782681</v>
      </c>
      <c r="Q55" s="26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spans="1:30" x14ac:dyDescent="0.2">
      <c r="B56" s="30" t="s">
        <v>61</v>
      </c>
      <c r="C56" s="16">
        <f t="shared" ref="C56:O56" si="5">STDEV(C37:C54)</f>
        <v>1.107976187769522</v>
      </c>
      <c r="D56" s="16">
        <f t="shared" si="5"/>
        <v>8.0891079732126531E-2</v>
      </c>
      <c r="E56" s="16">
        <f t="shared" si="5"/>
        <v>0.5931148936583045</v>
      </c>
      <c r="F56" s="16">
        <f t="shared" si="5"/>
        <v>0.17514195950624184</v>
      </c>
      <c r="G56" s="16">
        <f t="shared" si="5"/>
        <v>2.7933232321845188E-2</v>
      </c>
      <c r="H56" s="16">
        <f t="shared" si="5"/>
        <v>0.12478198328194433</v>
      </c>
      <c r="I56" s="16">
        <f t="shared" si="5"/>
        <v>0.50126857625440935</v>
      </c>
      <c r="J56" s="16">
        <f t="shared" si="5"/>
        <v>0.38923353904604469</v>
      </c>
      <c r="K56" s="16">
        <f t="shared" si="5"/>
        <v>0.40767059470777278</v>
      </c>
      <c r="L56" s="16">
        <f t="shared" si="5"/>
        <v>4.6865002698100754E-2</v>
      </c>
      <c r="M56" s="16">
        <f t="shared" si="5"/>
        <v>6.1960441145036051E-2</v>
      </c>
      <c r="N56" s="16">
        <f t="shared" si="5"/>
        <v>0</v>
      </c>
      <c r="O56" s="16">
        <f t="shared" si="5"/>
        <v>1.4814792791815143</v>
      </c>
      <c r="Q56" s="26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spans="1:30" x14ac:dyDescent="0.2">
      <c r="B57" s="29" t="s">
        <v>92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" t="s">
        <v>578</v>
      </c>
      <c r="Q57" s="26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1:30" x14ac:dyDescent="0.2">
      <c r="B58" s="29" t="s">
        <v>93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Q58" s="26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spans="1:30" x14ac:dyDescent="0.2">
      <c r="B59" s="29" t="s">
        <v>107</v>
      </c>
      <c r="C59" s="17"/>
      <c r="D59" s="17"/>
      <c r="E59" s="17"/>
      <c r="F59" s="17"/>
      <c r="G59" s="17"/>
      <c r="H59" s="17"/>
      <c r="I59" s="17"/>
      <c r="J59" s="41"/>
      <c r="K59" s="17"/>
      <c r="L59" s="17"/>
      <c r="M59" s="17"/>
      <c r="N59" s="17"/>
      <c r="O59" s="17"/>
      <c r="P59" s="1" t="s">
        <v>580</v>
      </c>
      <c r="Q59" s="26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spans="1:30" x14ac:dyDescent="0.2">
      <c r="B60" s="29" t="s">
        <v>111</v>
      </c>
      <c r="C60" s="17"/>
      <c r="D60" s="17"/>
      <c r="E60" s="17"/>
      <c r="F60" s="41"/>
      <c r="G60" s="17"/>
      <c r="H60" s="17"/>
      <c r="I60" s="17"/>
      <c r="J60" s="41"/>
      <c r="K60" s="17"/>
      <c r="L60" s="17"/>
      <c r="M60" s="17"/>
      <c r="N60" s="17"/>
      <c r="O60" s="17"/>
      <c r="P60" s="1" t="s">
        <v>580</v>
      </c>
      <c r="Q60" s="26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1:30" x14ac:dyDescent="0.2">
      <c r="B61" s="23"/>
      <c r="Q61" s="26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spans="1:30" x14ac:dyDescent="0.2">
      <c r="A62" s="1" t="s">
        <v>75</v>
      </c>
      <c r="B62" s="29" t="s">
        <v>48</v>
      </c>
      <c r="C62" s="17">
        <v>74.51907883254745</v>
      </c>
      <c r="D62" s="17">
        <v>0.10315901538703957</v>
      </c>
      <c r="E62" s="17">
        <v>13.139842438410888</v>
      </c>
      <c r="F62" s="17">
        <v>1.5954213388933922</v>
      </c>
      <c r="G62" s="17">
        <v>7.3659395186911988E-2</v>
      </c>
      <c r="H62" s="17">
        <v>5.5614500478371971E-2</v>
      </c>
      <c r="I62" s="17">
        <v>0.76666943823412559</v>
      </c>
      <c r="J62" s="17">
        <v>4.2656688547069503</v>
      </c>
      <c r="K62" s="17">
        <v>5.2525119409195931</v>
      </c>
      <c r="L62" s="17">
        <v>0</v>
      </c>
      <c r="M62" s="17">
        <v>0.29490050250943706</v>
      </c>
      <c r="N62" s="17">
        <v>99.269074657013135</v>
      </c>
      <c r="O62" s="17">
        <v>0.73092534298686473</v>
      </c>
      <c r="Q62" s="26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1:30" x14ac:dyDescent="0.2">
      <c r="B63" s="29" t="s">
        <v>49</v>
      </c>
      <c r="C63" s="17">
        <v>74.837727166395624</v>
      </c>
      <c r="D63" s="17">
        <v>4.1976677038127255E-2</v>
      </c>
      <c r="E63" s="17">
        <v>13.021138621233238</v>
      </c>
      <c r="F63" s="17">
        <v>1.5091426772988625</v>
      </c>
      <c r="G63" s="17">
        <v>9.4640744230853821E-2</v>
      </c>
      <c r="H63" s="17">
        <v>3.4621784908158842E-2</v>
      </c>
      <c r="I63" s="17">
        <v>0.73556897156570178</v>
      </c>
      <c r="J63" s="17">
        <v>4.174281226526162</v>
      </c>
      <c r="K63" s="17">
        <v>5.2582079542555622</v>
      </c>
      <c r="L63" s="17">
        <v>3.0881613467709245E-2</v>
      </c>
      <c r="M63" s="17">
        <v>0.33804408029930294</v>
      </c>
      <c r="N63" s="17">
        <v>100.01506303575911</v>
      </c>
      <c r="O63" s="17">
        <v>-1.5063035759112609E-2</v>
      </c>
      <c r="Q63" s="2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spans="1:30" x14ac:dyDescent="0.2">
      <c r="B64" s="29" t="s">
        <v>50</v>
      </c>
      <c r="C64" s="17">
        <v>74.810232601036574</v>
      </c>
      <c r="D64" s="17">
        <v>8.014521820046093E-2</v>
      </c>
      <c r="E64" s="17">
        <v>13.020687047749254</v>
      </c>
      <c r="F64" s="17">
        <v>1.5997360947740937</v>
      </c>
      <c r="G64" s="17">
        <v>5.1600811463811715E-2</v>
      </c>
      <c r="H64" s="17">
        <v>6.5474232679197844E-2</v>
      </c>
      <c r="I64" s="17">
        <v>0.73752123328124897</v>
      </c>
      <c r="J64" s="17">
        <v>3.9929187448735046</v>
      </c>
      <c r="K64" s="17">
        <v>5.3053617823489354</v>
      </c>
      <c r="L64" s="17">
        <v>4.4576608646793477E-2</v>
      </c>
      <c r="M64" s="17">
        <v>0.37625645829455323</v>
      </c>
      <c r="N64" s="17">
        <v>100.05462808701769</v>
      </c>
      <c r="O64" s="17">
        <v>-5.4628087017690063E-2</v>
      </c>
      <c r="Q64" s="2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spans="1:15" x14ac:dyDescent="0.2">
      <c r="B65" s="29" t="s">
        <v>62</v>
      </c>
      <c r="C65" s="17">
        <v>75.014531243923003</v>
      </c>
      <c r="D65" s="17">
        <v>5.1881061672264896E-2</v>
      </c>
      <c r="E65" s="17">
        <v>13.075317407592932</v>
      </c>
      <c r="F65" s="17">
        <v>1.5165140970455968</v>
      </c>
      <c r="G65" s="17">
        <v>8.0426361095232102E-2</v>
      </c>
      <c r="H65" s="17">
        <v>3.4136388627234171E-2</v>
      </c>
      <c r="I65" s="17">
        <v>0.7114370830078659</v>
      </c>
      <c r="J65" s="17">
        <v>3.9974435130045345</v>
      </c>
      <c r="K65" s="17">
        <v>5.2348738308194083</v>
      </c>
      <c r="L65" s="17">
        <v>3.4375667632705768E-2</v>
      </c>
      <c r="M65" s="17">
        <v>0.32161931977559666</v>
      </c>
      <c r="N65" s="17">
        <v>99.855319706564472</v>
      </c>
      <c r="O65" s="17">
        <v>0.14468029343552757</v>
      </c>
    </row>
    <row r="66" spans="1:15" x14ac:dyDescent="0.2">
      <c r="B66" s="29" t="s">
        <v>63</v>
      </c>
      <c r="C66" s="17">
        <v>74.485184424793331</v>
      </c>
      <c r="D66" s="17">
        <v>9.0511043483889303E-2</v>
      </c>
      <c r="E66" s="17">
        <v>13.235576303572413</v>
      </c>
      <c r="F66" s="17">
        <v>1.6851146900217457</v>
      </c>
      <c r="G66" s="17">
        <v>8.1910369492313576E-2</v>
      </c>
      <c r="H66" s="17">
        <v>3.268175933379671E-2</v>
      </c>
      <c r="I66" s="17">
        <v>0.72723011809490246</v>
      </c>
      <c r="J66" s="17">
        <v>4.1104827052058459</v>
      </c>
      <c r="K66" s="17">
        <v>5.2758985872364565</v>
      </c>
      <c r="L66" s="17">
        <v>0</v>
      </c>
      <c r="M66" s="17">
        <v>0.3556685898241001</v>
      </c>
      <c r="N66" s="17">
        <v>99.771250583442722</v>
      </c>
      <c r="O66" s="17">
        <v>0.2287494165572781</v>
      </c>
    </row>
    <row r="67" spans="1:15" x14ac:dyDescent="0.2">
      <c r="B67" s="29" t="s">
        <v>64</v>
      </c>
      <c r="C67" s="17">
        <v>74.443887150638687</v>
      </c>
      <c r="D67" s="17">
        <v>8.1533050390821357E-2</v>
      </c>
      <c r="E67" s="17">
        <v>13.11731451028615</v>
      </c>
      <c r="F67" s="17">
        <v>1.5606336120178814</v>
      </c>
      <c r="G67" s="17">
        <v>5.0669909356136404E-2</v>
      </c>
      <c r="H67" s="17">
        <v>3.1927282833584418E-2</v>
      </c>
      <c r="I67" s="17">
        <v>0.74257507376292531</v>
      </c>
      <c r="J67" s="17">
        <v>4.4276678698478786</v>
      </c>
      <c r="K67" s="17">
        <v>5.2339218701772445</v>
      </c>
      <c r="L67" s="17">
        <v>5.5415597221097887E-2</v>
      </c>
      <c r="M67" s="17">
        <v>0.32864918970812068</v>
      </c>
      <c r="N67" s="17">
        <v>99.046950424279927</v>
      </c>
      <c r="O67" s="17">
        <v>0.95304957572007254</v>
      </c>
    </row>
    <row r="68" spans="1:15" x14ac:dyDescent="0.2">
      <c r="B68" s="30" t="s">
        <v>20</v>
      </c>
      <c r="C68" s="16">
        <f>AVERAGE(C62:C67)</f>
        <v>74.685106903222447</v>
      </c>
      <c r="D68" s="16">
        <f t="shared" ref="D68:O68" si="6">AVERAGE(D62:D67)</f>
        <v>7.4867677695433898E-2</v>
      </c>
      <c r="E68" s="16">
        <f t="shared" si="6"/>
        <v>13.10164605480748</v>
      </c>
      <c r="F68" s="16">
        <f t="shared" si="6"/>
        <v>1.5777604183419287</v>
      </c>
      <c r="G68" s="16">
        <f t="shared" si="6"/>
        <v>7.2151265137543261E-2</v>
      </c>
      <c r="H68" s="16">
        <f t="shared" si="6"/>
        <v>4.2409324810057325E-2</v>
      </c>
      <c r="I68" s="16">
        <f t="shared" si="6"/>
        <v>0.73683365299112824</v>
      </c>
      <c r="J68" s="16">
        <f t="shared" si="6"/>
        <v>4.1614104856941454</v>
      </c>
      <c r="K68" s="16">
        <f t="shared" si="6"/>
        <v>5.2601293276262</v>
      </c>
      <c r="L68" s="16">
        <f t="shared" si="6"/>
        <v>2.7541581161384398E-2</v>
      </c>
      <c r="M68" s="16">
        <f t="shared" si="6"/>
        <v>0.3358563567351851</v>
      </c>
      <c r="N68" s="16">
        <f t="shared" si="6"/>
        <v>99.668714415679517</v>
      </c>
      <c r="O68" s="16">
        <f t="shared" si="6"/>
        <v>0.33128558432049005</v>
      </c>
    </row>
    <row r="69" spans="1:15" x14ac:dyDescent="0.2">
      <c r="B69" s="30" t="s">
        <v>61</v>
      </c>
      <c r="C69" s="16">
        <f>STDEV(C62:C67)</f>
        <v>0.2337481841214557</v>
      </c>
      <c r="D69" s="16">
        <f t="shared" ref="D69:O69" si="7">STDEV(D62:D67)</f>
        <v>2.3356355661609714E-2</v>
      </c>
      <c r="E69" s="16">
        <f t="shared" si="7"/>
        <v>8.1695509179410486E-2</v>
      </c>
      <c r="F69" s="16">
        <f t="shared" si="7"/>
        <v>6.4919352846941586E-2</v>
      </c>
      <c r="G69" s="16">
        <f t="shared" si="7"/>
        <v>1.7638243957118226E-2</v>
      </c>
      <c r="H69" s="16">
        <f t="shared" si="7"/>
        <v>1.4421876607038307E-2</v>
      </c>
      <c r="I69" s="16">
        <f t="shared" si="7"/>
        <v>1.8234164794286741E-2</v>
      </c>
      <c r="J69" s="16">
        <f t="shared" si="7"/>
        <v>0.16721048518462819</v>
      </c>
      <c r="K69" s="16">
        <f t="shared" si="7"/>
        <v>2.7133122598271081E-2</v>
      </c>
      <c r="L69" s="16">
        <f t="shared" si="7"/>
        <v>2.2987348138351439E-2</v>
      </c>
      <c r="M69" s="16">
        <f t="shared" si="7"/>
        <v>2.8147814812788465E-2</v>
      </c>
      <c r="N69" s="16">
        <f t="shared" si="7"/>
        <v>0.41485523411200759</v>
      </c>
      <c r="O69" s="16">
        <f t="shared" si="7"/>
        <v>0.41485523411200753</v>
      </c>
    </row>
    <row r="70" spans="1:15" x14ac:dyDescent="0.2">
      <c r="B70" s="29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x14ac:dyDescent="0.2">
      <c r="A71" s="1" t="s">
        <v>75</v>
      </c>
      <c r="B71" s="29" t="s">
        <v>54</v>
      </c>
      <c r="C71" s="17">
        <v>75.197346915315833</v>
      </c>
      <c r="D71" s="17">
        <v>0.31071550613970056</v>
      </c>
      <c r="E71" s="17">
        <v>13.06157494512863</v>
      </c>
      <c r="F71" s="17">
        <v>1.643313821514568</v>
      </c>
      <c r="G71" s="17">
        <v>6.4593795613146127E-2</v>
      </c>
      <c r="H71" s="17">
        <v>0.32118168621084442</v>
      </c>
      <c r="I71" s="17">
        <v>1.5561353161644416</v>
      </c>
      <c r="J71" s="17">
        <v>3.7651548817161</v>
      </c>
      <c r="K71" s="17">
        <v>3.8236318882160383</v>
      </c>
      <c r="L71" s="17">
        <v>3.6007580007906249E-2</v>
      </c>
      <c r="M71" s="17">
        <v>0.28461916039208252</v>
      </c>
      <c r="N71" s="17">
        <v>100</v>
      </c>
      <c r="O71" s="17">
        <v>4.4923751354155712</v>
      </c>
    </row>
    <row r="72" spans="1:15" x14ac:dyDescent="0.2">
      <c r="B72" s="29" t="s">
        <v>55</v>
      </c>
      <c r="C72" s="17">
        <v>74.871216572446841</v>
      </c>
      <c r="D72" s="17">
        <v>0.33956329693268245</v>
      </c>
      <c r="E72" s="17">
        <v>13.163863629349388</v>
      </c>
      <c r="F72" s="17">
        <v>1.6656084134755205</v>
      </c>
      <c r="G72" s="17">
        <v>9.6202946453944643E-2</v>
      </c>
      <c r="H72" s="17">
        <v>0.34089416566242448</v>
      </c>
      <c r="I72" s="17">
        <v>1.5532773500384236</v>
      </c>
      <c r="J72" s="17">
        <v>3.7288321987038184</v>
      </c>
      <c r="K72" s="17">
        <v>3.868866835204158</v>
      </c>
      <c r="L72" s="17">
        <v>0.10803054429902555</v>
      </c>
      <c r="M72" s="17">
        <v>0.34049280918723457</v>
      </c>
      <c r="N72" s="17">
        <v>100</v>
      </c>
      <c r="O72" s="17">
        <v>4.5736088302150222</v>
      </c>
    </row>
    <row r="73" spans="1:15" x14ac:dyDescent="0.2">
      <c r="B73" s="29" t="s">
        <v>56</v>
      </c>
      <c r="C73" s="17">
        <v>75.403278985799219</v>
      </c>
      <c r="D73" s="17">
        <v>0.42256632847038234</v>
      </c>
      <c r="E73" s="17">
        <v>12.994705836902146</v>
      </c>
      <c r="F73" s="17">
        <v>1.7222919077898684</v>
      </c>
      <c r="G73" s="17">
        <v>8.1470032142047635E-2</v>
      </c>
      <c r="H73" s="17">
        <v>0.34710797899994217</v>
      </c>
      <c r="I73" s="17">
        <v>1.5345389789346306</v>
      </c>
      <c r="J73" s="17">
        <v>3.4582335816172129</v>
      </c>
      <c r="K73" s="17">
        <v>3.6626800773213883</v>
      </c>
      <c r="L73" s="17">
        <v>9.212110856592251E-2</v>
      </c>
      <c r="M73" s="17">
        <v>0.36291127955353503</v>
      </c>
      <c r="N73" s="17">
        <v>100</v>
      </c>
      <c r="O73" s="17">
        <v>6.6650668954936378</v>
      </c>
    </row>
    <row r="74" spans="1:15" x14ac:dyDescent="0.2">
      <c r="B74" s="29" t="s">
        <v>66</v>
      </c>
      <c r="C74" s="17">
        <v>75.156514569330454</v>
      </c>
      <c r="D74" s="17">
        <v>0.32490842064103925</v>
      </c>
      <c r="E74" s="17">
        <v>13.252439949100426</v>
      </c>
      <c r="F74" s="17">
        <v>1.7313543178888415</v>
      </c>
      <c r="G74" s="17">
        <v>8.9824981732914574E-2</v>
      </c>
      <c r="H74" s="17">
        <v>0.34554820580418966</v>
      </c>
      <c r="I74" s="17">
        <v>1.4655666797792664</v>
      </c>
      <c r="J74" s="17">
        <v>3.6576670589228755</v>
      </c>
      <c r="K74" s="17">
        <v>3.7325220946765318</v>
      </c>
      <c r="L74" s="17">
        <v>7.3021833042866725E-3</v>
      </c>
      <c r="M74" s="17">
        <v>0.30533723515188849</v>
      </c>
      <c r="N74" s="17">
        <v>100</v>
      </c>
      <c r="O74" s="17">
        <v>5.7645230013080067</v>
      </c>
    </row>
    <row r="75" spans="1:15" x14ac:dyDescent="0.2">
      <c r="B75" s="29" t="s">
        <v>65</v>
      </c>
      <c r="C75" s="17">
        <v>74.932809347011911</v>
      </c>
      <c r="D75" s="17">
        <v>0.33657764550193897</v>
      </c>
      <c r="E75" s="17">
        <v>13.315254037402729</v>
      </c>
      <c r="F75" s="17">
        <v>1.7737393122848646</v>
      </c>
      <c r="G75" s="17">
        <v>7.2175732015987371E-2</v>
      </c>
      <c r="H75" s="17">
        <v>0.3357591578192835</v>
      </c>
      <c r="I75" s="17">
        <v>1.4871898273474073</v>
      </c>
      <c r="J75" s="17">
        <v>3.5884134886984422</v>
      </c>
      <c r="K75" s="17">
        <v>3.7938214090575761</v>
      </c>
      <c r="L75" s="17">
        <v>0.12614091118353382</v>
      </c>
      <c r="M75" s="17">
        <v>0.30744325679793943</v>
      </c>
      <c r="N75" s="17">
        <v>100</v>
      </c>
      <c r="O75" s="17">
        <v>4.580115675522535</v>
      </c>
    </row>
    <row r="76" spans="1:15" x14ac:dyDescent="0.2">
      <c r="B76" s="30" t="s">
        <v>20</v>
      </c>
      <c r="C76" s="16">
        <f t="shared" ref="C76:O76" si="8">AVERAGE(C71:C75)</f>
        <v>75.112233277980849</v>
      </c>
      <c r="D76" s="16">
        <f t="shared" si="8"/>
        <v>0.34686623953714868</v>
      </c>
      <c r="E76" s="16">
        <f t="shared" si="8"/>
        <v>13.157567679576664</v>
      </c>
      <c r="F76" s="16">
        <f t="shared" si="8"/>
        <v>1.7072615545907326</v>
      </c>
      <c r="G76" s="16">
        <f t="shared" si="8"/>
        <v>8.0853497591608064E-2</v>
      </c>
      <c r="H76" s="16">
        <f t="shared" si="8"/>
        <v>0.33809823889933688</v>
      </c>
      <c r="I76" s="16">
        <f t="shared" si="8"/>
        <v>1.519341630452834</v>
      </c>
      <c r="J76" s="16">
        <f t="shared" si="8"/>
        <v>3.6396602419316899</v>
      </c>
      <c r="K76" s="16">
        <f t="shared" si="8"/>
        <v>3.7763044608951382</v>
      </c>
      <c r="L76" s="16">
        <f t="shared" si="8"/>
        <v>7.3920465472134961E-2</v>
      </c>
      <c r="M76" s="16">
        <f t="shared" si="8"/>
        <v>0.32016074821653601</v>
      </c>
      <c r="N76" s="16">
        <f t="shared" si="8"/>
        <v>100</v>
      </c>
      <c r="O76" s="16">
        <f t="shared" si="8"/>
        <v>5.2151379075909547</v>
      </c>
    </row>
    <row r="77" spans="1:15" x14ac:dyDescent="0.2">
      <c r="B77" s="30" t="s">
        <v>61</v>
      </c>
      <c r="C77" s="16">
        <f t="shared" ref="C77:O77" si="9">STDEV(C71:C75)</f>
        <v>0.21458958934107719</v>
      </c>
      <c r="D77" s="16">
        <f t="shared" si="9"/>
        <v>4.3814132817655796E-2</v>
      </c>
      <c r="E77" s="16">
        <f t="shared" si="9"/>
        <v>0.13195070937544276</v>
      </c>
      <c r="F77" s="16">
        <f t="shared" si="9"/>
        <v>5.2559399157080793E-2</v>
      </c>
      <c r="G77" s="16">
        <f t="shared" si="9"/>
        <v>1.280775884709061E-2</v>
      </c>
      <c r="H77" s="16">
        <f t="shared" si="9"/>
        <v>1.0441930918058347E-2</v>
      </c>
      <c r="I77" s="16">
        <f t="shared" si="9"/>
        <v>4.0810083116149885E-2</v>
      </c>
      <c r="J77" s="16">
        <f t="shared" si="9"/>
        <v>0.12203140040288529</v>
      </c>
      <c r="K77" s="16">
        <f t="shared" si="9"/>
        <v>8.0532475004929688E-2</v>
      </c>
      <c r="L77" s="16">
        <f t="shared" si="9"/>
        <v>5.0242208948552573E-2</v>
      </c>
      <c r="M77" s="16">
        <f t="shared" si="9"/>
        <v>3.1167596256188625E-2</v>
      </c>
      <c r="N77" s="16">
        <f t="shared" si="9"/>
        <v>0</v>
      </c>
      <c r="O77" s="16">
        <f t="shared" si="9"/>
        <v>0.96712419941050143</v>
      </c>
    </row>
    <row r="78" spans="1:15" x14ac:dyDescent="0.2">
      <c r="B78" s="23"/>
    </row>
    <row r="79" spans="1:15" x14ac:dyDescent="0.2">
      <c r="A79" s="1" t="s">
        <v>76</v>
      </c>
      <c r="B79" s="23" t="s">
        <v>23</v>
      </c>
      <c r="C79" s="8">
        <v>74.9375</v>
      </c>
      <c r="D79" s="8">
        <v>5.0625000000000003E-2</v>
      </c>
      <c r="E79" s="8">
        <v>13.1189</v>
      </c>
      <c r="F79" s="8">
        <v>1.6126799999999999</v>
      </c>
      <c r="G79" s="8">
        <v>8.7226999999999999E-2</v>
      </c>
      <c r="H79" s="8">
        <v>4.7178999999999999E-2</v>
      </c>
      <c r="I79" s="8">
        <v>0.75378400000000001</v>
      </c>
      <c r="J79" s="8">
        <v>3.8565200000000002</v>
      </c>
      <c r="K79" s="8">
        <v>5.2942299999999998</v>
      </c>
      <c r="L79" s="8">
        <v>6.2088999999999998E-2</v>
      </c>
      <c r="M79" s="8">
        <v>0.28604000000000002</v>
      </c>
      <c r="N79" s="8">
        <v>100.042</v>
      </c>
      <c r="O79" s="8">
        <f>100-N79</f>
        <v>-4.2000000000001592E-2</v>
      </c>
    </row>
    <row r="80" spans="1:15" x14ac:dyDescent="0.2">
      <c r="B80" s="23" t="s">
        <v>24</v>
      </c>
      <c r="C80" s="8">
        <v>74.933099999999996</v>
      </c>
      <c r="D80" s="8">
        <v>8.2015000000000005E-2</v>
      </c>
      <c r="E80" s="8">
        <v>13.1717</v>
      </c>
      <c r="F80" s="8">
        <v>1.63151</v>
      </c>
      <c r="G80" s="8">
        <v>8.1485000000000002E-2</v>
      </c>
      <c r="H80" s="8">
        <v>4.7039999999999998E-2</v>
      </c>
      <c r="I80" s="8">
        <v>0.72869899999999999</v>
      </c>
      <c r="J80" s="8">
        <v>3.8846400000000001</v>
      </c>
      <c r="K80" s="8">
        <v>5.2985600000000002</v>
      </c>
      <c r="L80" s="8">
        <v>0</v>
      </c>
      <c r="M80" s="8">
        <v>0.400059</v>
      </c>
      <c r="N80" s="8">
        <v>100.169</v>
      </c>
      <c r="O80" s="8">
        <f t="shared" ref="O80:O84" si="10">100-N80</f>
        <v>-0.16899999999999693</v>
      </c>
    </row>
    <row r="81" spans="1:31" x14ac:dyDescent="0.2">
      <c r="B81" s="23" t="s">
        <v>25</v>
      </c>
      <c r="C81" s="8">
        <v>74.693799999999996</v>
      </c>
      <c r="D81" s="8">
        <v>6.4193E-2</v>
      </c>
      <c r="E81" s="8">
        <v>13.003500000000001</v>
      </c>
      <c r="F81" s="8">
        <v>1.5156400000000001</v>
      </c>
      <c r="G81" s="8">
        <v>5.2663000000000001E-2</v>
      </c>
      <c r="H81" s="8">
        <v>3.3928E-2</v>
      </c>
      <c r="I81" s="8">
        <v>0.71169499999999997</v>
      </c>
      <c r="J81" s="8">
        <v>3.96305</v>
      </c>
      <c r="K81" s="8">
        <v>5.0526299999999997</v>
      </c>
      <c r="L81" s="8">
        <v>9.7108E-2</v>
      </c>
      <c r="M81" s="8">
        <v>0.27681600000000001</v>
      </c>
      <c r="N81" s="8">
        <v>99.402500000000003</v>
      </c>
      <c r="O81" s="8">
        <f t="shared" si="10"/>
        <v>0.59749999999999659</v>
      </c>
    </row>
    <row r="82" spans="1:31" x14ac:dyDescent="0.2">
      <c r="B82" s="23" t="s">
        <v>26</v>
      </c>
      <c r="C82" s="8">
        <v>74.616500000000002</v>
      </c>
      <c r="D82" s="8">
        <v>5.1556999999999999E-2</v>
      </c>
      <c r="E82" s="8">
        <v>13.059900000000001</v>
      </c>
      <c r="F82" s="8">
        <v>1.5317099999999999</v>
      </c>
      <c r="G82" s="8">
        <v>6.3198000000000004E-2</v>
      </c>
      <c r="H82" s="8">
        <v>4.9159000000000001E-2</v>
      </c>
      <c r="I82" s="8">
        <v>0.74955899999999998</v>
      </c>
      <c r="J82" s="8">
        <v>3.8300399999999999</v>
      </c>
      <c r="K82" s="8">
        <v>5.2141299999999999</v>
      </c>
      <c r="L82" s="8">
        <v>0</v>
      </c>
      <c r="M82" s="8">
        <v>0.305199</v>
      </c>
      <c r="N82" s="8">
        <v>99.402100000000004</v>
      </c>
      <c r="O82" s="8">
        <f t="shared" si="10"/>
        <v>0.59789999999999566</v>
      </c>
    </row>
    <row r="83" spans="1:31" x14ac:dyDescent="0.2">
      <c r="B83" s="23" t="s">
        <v>27</v>
      </c>
      <c r="C83" s="8">
        <v>74.680000000000007</v>
      </c>
      <c r="D83" s="8">
        <v>7.6103000000000004E-2</v>
      </c>
      <c r="E83" s="8">
        <v>13.2342</v>
      </c>
      <c r="F83" s="8">
        <v>1.6155299999999999</v>
      </c>
      <c r="G83" s="8">
        <v>4.8173000000000001E-2</v>
      </c>
      <c r="H83" s="8">
        <v>3.6483000000000002E-2</v>
      </c>
      <c r="I83" s="8">
        <v>0.70757000000000003</v>
      </c>
      <c r="J83" s="8">
        <v>3.8972799999999999</v>
      </c>
      <c r="K83" s="8">
        <v>5.1953800000000001</v>
      </c>
      <c r="L83" s="8">
        <v>0</v>
      </c>
      <c r="M83" s="8">
        <v>0.28398000000000001</v>
      </c>
      <c r="N83" s="8">
        <v>99.710700000000003</v>
      </c>
      <c r="O83" s="8">
        <f t="shared" si="10"/>
        <v>0.28929999999999723</v>
      </c>
      <c r="Q83" s="4"/>
    </row>
    <row r="84" spans="1:31" x14ac:dyDescent="0.2">
      <c r="B84" s="23" t="s">
        <v>28</v>
      </c>
      <c r="C84" s="8">
        <v>74.231399999999994</v>
      </c>
      <c r="D84" s="8">
        <v>6.0271999999999999E-2</v>
      </c>
      <c r="E84" s="8">
        <v>13.0586</v>
      </c>
      <c r="F84" s="8">
        <v>1.65395</v>
      </c>
      <c r="G84" s="8">
        <v>8.5783999999999999E-2</v>
      </c>
      <c r="H84" s="8">
        <v>5.8081000000000001E-2</v>
      </c>
      <c r="I84" s="8">
        <v>0.72174000000000005</v>
      </c>
      <c r="J84" s="8">
        <v>4.10215</v>
      </c>
      <c r="K84" s="8">
        <v>4.9935799999999997</v>
      </c>
      <c r="L84" s="8">
        <v>0</v>
      </c>
      <c r="M84" s="8">
        <v>0.25784400000000002</v>
      </c>
      <c r="N84" s="8">
        <v>99.165300000000002</v>
      </c>
      <c r="O84" s="8">
        <f t="shared" si="10"/>
        <v>0.834699999999998</v>
      </c>
    </row>
    <row r="85" spans="1:31" x14ac:dyDescent="0.2">
      <c r="B85" s="24" t="s">
        <v>20</v>
      </c>
      <c r="C85" s="18">
        <f>AVERAGE(C79:C84)</f>
        <v>74.68204999999999</v>
      </c>
      <c r="D85" s="18">
        <f t="shared" ref="D85:O85" si="11">AVERAGE(D79:D84)</f>
        <v>6.4127500000000004E-2</v>
      </c>
      <c r="E85" s="18">
        <f t="shared" si="11"/>
        <v>13.107799999999999</v>
      </c>
      <c r="F85" s="18">
        <f t="shared" si="11"/>
        <v>1.5935033333333333</v>
      </c>
      <c r="G85" s="18">
        <f t="shared" si="11"/>
        <v>6.9754999999999998E-2</v>
      </c>
      <c r="H85" s="18">
        <f t="shared" si="11"/>
        <v>4.5311666666666667E-2</v>
      </c>
      <c r="I85" s="18">
        <f t="shared" si="11"/>
        <v>0.72884116666666665</v>
      </c>
      <c r="J85" s="18">
        <f t="shared" si="11"/>
        <v>3.9222799999999993</v>
      </c>
      <c r="K85" s="18">
        <f t="shared" si="11"/>
        <v>5.1747516666666664</v>
      </c>
      <c r="L85" s="18">
        <f t="shared" si="11"/>
        <v>2.6532833333333335E-2</v>
      </c>
      <c r="M85" s="18">
        <f t="shared" si="11"/>
        <v>0.3016563333333333</v>
      </c>
      <c r="N85" s="18">
        <f t="shared" si="11"/>
        <v>99.648600000000002</v>
      </c>
      <c r="O85" s="18">
        <f t="shared" si="11"/>
        <v>0.35139999999999816</v>
      </c>
    </row>
    <row r="86" spans="1:31" x14ac:dyDescent="0.2">
      <c r="B86" s="24" t="s">
        <v>21</v>
      </c>
      <c r="C86" s="18">
        <f>STDEV(C79:C84)</f>
        <v>0.25915450796773859</v>
      </c>
      <c r="D86" s="18">
        <f t="shared" ref="D86:O86" si="12">STDEV(D79:D84)</f>
        <v>1.2795150671250368E-2</v>
      </c>
      <c r="E86" s="18">
        <f t="shared" si="12"/>
        <v>8.4589502894862292E-2</v>
      </c>
      <c r="F86" s="18">
        <f t="shared" si="12"/>
        <v>5.6271377330456958E-2</v>
      </c>
      <c r="G86" s="18">
        <f>STDEV(G79:G84)</f>
        <v>1.7324583469740362E-2</v>
      </c>
      <c r="H86" s="18">
        <f t="shared" si="12"/>
        <v>8.8528542214738066E-3</v>
      </c>
      <c r="I86" s="18">
        <f t="shared" si="12"/>
        <v>1.9226408374074092E-2</v>
      </c>
      <c r="J86" s="18">
        <f t="shared" si="12"/>
        <v>9.8883542210015898E-2</v>
      </c>
      <c r="K86" s="18">
        <f>STDEV(K79:K84)</f>
        <v>0.1259496971678245</v>
      </c>
      <c r="L86" s="18">
        <f t="shared" si="12"/>
        <v>4.2570083666427845E-2</v>
      </c>
      <c r="M86" s="18">
        <f t="shared" si="12"/>
        <v>5.057374938312062E-2</v>
      </c>
      <c r="N86" s="18">
        <f t="shared" si="12"/>
        <v>0.39606627728197025</v>
      </c>
      <c r="O86" s="18">
        <f t="shared" si="12"/>
        <v>0.39606627728197025</v>
      </c>
    </row>
    <row r="87" spans="1:31" x14ac:dyDescent="0.2">
      <c r="B87" s="23"/>
      <c r="C87" s="4"/>
      <c r="D87" s="4"/>
      <c r="E87" s="4"/>
      <c r="F87" s="4"/>
      <c r="G87" s="4"/>
      <c r="H87" s="4"/>
      <c r="I87" s="4"/>
    </row>
    <row r="88" spans="1:31" x14ac:dyDescent="0.2">
      <c r="A88" s="1" t="s">
        <v>76</v>
      </c>
      <c r="B88" s="23" t="s">
        <v>29</v>
      </c>
      <c r="C88" s="8">
        <v>76.064745273529553</v>
      </c>
      <c r="D88" s="8">
        <v>0.29662533397712415</v>
      </c>
      <c r="E88" s="8">
        <v>13.151168800388838</v>
      </c>
      <c r="F88" s="8">
        <v>1.7719258308837564</v>
      </c>
      <c r="G88" s="8">
        <v>3.7776334956270349E-2</v>
      </c>
      <c r="H88" s="8">
        <v>0.31874305200347963</v>
      </c>
      <c r="I88" s="8">
        <v>1.4948429357903292</v>
      </c>
      <c r="J88" s="8">
        <v>3.0113207247677658</v>
      </c>
      <c r="K88" s="8">
        <v>3.6283321053962023</v>
      </c>
      <c r="L88" s="8">
        <v>6.9229439874763044E-2</v>
      </c>
      <c r="M88" s="8">
        <v>0.20045684381744885</v>
      </c>
      <c r="N88" s="8">
        <v>100</v>
      </c>
      <c r="O88" s="8">
        <v>4.5161989715315007</v>
      </c>
      <c r="P88" s="6"/>
    </row>
    <row r="89" spans="1:31" x14ac:dyDescent="0.2">
      <c r="B89" s="23" t="s">
        <v>30</v>
      </c>
      <c r="C89" s="8">
        <v>75.561629421611514</v>
      </c>
      <c r="D89" s="8">
        <v>0.34258697405900407</v>
      </c>
      <c r="E89" s="8">
        <v>13.116491806841028</v>
      </c>
      <c r="F89" s="8">
        <v>1.694605680469323</v>
      </c>
      <c r="G89" s="8">
        <v>4.9625766588193385E-2</v>
      </c>
      <c r="H89" s="8">
        <v>0.28888759651853774</v>
      </c>
      <c r="I89" s="8">
        <v>1.4996057547787418</v>
      </c>
      <c r="J89" s="8">
        <v>3.4063357669387222</v>
      </c>
      <c r="K89" s="8">
        <v>3.7511098870196236</v>
      </c>
      <c r="L89" s="8">
        <v>2.8056017190503119E-2</v>
      </c>
      <c r="M89" s="8">
        <v>0.33710057386848069</v>
      </c>
      <c r="N89" s="8">
        <v>100</v>
      </c>
      <c r="O89" s="8">
        <v>2.9729765488626607</v>
      </c>
      <c r="P89" s="6"/>
      <c r="S89" s="4"/>
      <c r="T89" s="4"/>
      <c r="U89" s="4"/>
      <c r="V89" s="4"/>
      <c r="W89" s="4"/>
      <c r="X89" s="4"/>
      <c r="Y89" s="4"/>
      <c r="Z89" s="4"/>
      <c r="AA89" s="4"/>
      <c r="AB89" s="4"/>
      <c r="AC89" s="8"/>
      <c r="AD89" s="4"/>
      <c r="AE89" s="4"/>
    </row>
    <row r="90" spans="1:31" x14ac:dyDescent="0.2">
      <c r="B90" s="23" t="s">
        <v>31</v>
      </c>
      <c r="C90" s="8">
        <v>76.037846089939279</v>
      </c>
      <c r="D90" s="8">
        <v>0.33101267466018991</v>
      </c>
      <c r="E90" s="8">
        <v>13.025756592639667</v>
      </c>
      <c r="F90" s="8">
        <v>1.7275517727085195</v>
      </c>
      <c r="G90" s="8">
        <v>5.7974077046639712E-2</v>
      </c>
      <c r="H90" s="8">
        <v>0.31113219284247018</v>
      </c>
      <c r="I90" s="8">
        <v>1.3576414630326099</v>
      </c>
      <c r="J90" s="8">
        <v>3.3910716058628698</v>
      </c>
      <c r="K90" s="8">
        <v>3.5335728358648373</v>
      </c>
      <c r="L90" s="8">
        <v>0</v>
      </c>
      <c r="M90" s="8">
        <v>0.29253214178484116</v>
      </c>
      <c r="N90" s="8">
        <v>100</v>
      </c>
      <c r="O90" s="8">
        <v>4.0154963518008335</v>
      </c>
      <c r="P90" s="6"/>
    </row>
    <row r="91" spans="1:31" x14ac:dyDescent="0.2">
      <c r="B91" s="23" t="s">
        <v>32</v>
      </c>
      <c r="C91" s="8">
        <v>75.634507363943982</v>
      </c>
      <c r="D91" s="8">
        <v>0.24477543049230896</v>
      </c>
      <c r="E91" s="8">
        <v>13.317738828782687</v>
      </c>
      <c r="F91" s="8">
        <v>1.834760370149624</v>
      </c>
      <c r="G91" s="8">
        <v>5.1819407358039221E-2</v>
      </c>
      <c r="H91" s="8">
        <v>0.2823972687540221</v>
      </c>
      <c r="I91" s="8">
        <v>1.4649627367897695</v>
      </c>
      <c r="J91" s="8">
        <v>3.2727788913061779</v>
      </c>
      <c r="K91" s="8">
        <v>3.684186315307346</v>
      </c>
      <c r="L91" s="8">
        <v>2.8429535063673336E-2</v>
      </c>
      <c r="M91" s="8">
        <v>0.23718518762031382</v>
      </c>
      <c r="N91" s="8">
        <v>100</v>
      </c>
      <c r="O91" s="8">
        <v>4.2329424882615445</v>
      </c>
      <c r="P91" s="6"/>
    </row>
    <row r="92" spans="1:31" x14ac:dyDescent="0.2">
      <c r="B92" s="23" t="s">
        <v>33</v>
      </c>
      <c r="C92" s="8">
        <v>76.129734369938816</v>
      </c>
      <c r="D92" s="8">
        <v>0.2790204973040562</v>
      </c>
      <c r="E92" s="8">
        <v>13.041835039970762</v>
      </c>
      <c r="F92" s="8">
        <v>1.7215944251869577</v>
      </c>
      <c r="G92" s="8">
        <v>6.7200896877582753E-2</v>
      </c>
      <c r="H92" s="8">
        <v>0.28959010781154593</v>
      </c>
      <c r="I92" s="8">
        <v>1.4411143693409409</v>
      </c>
      <c r="J92" s="8">
        <v>3.12223120084822</v>
      </c>
      <c r="K92" s="8">
        <v>3.7024135014404194</v>
      </c>
      <c r="L92" s="8">
        <v>8.083070475449974E-3</v>
      </c>
      <c r="M92" s="8">
        <v>0.25459804758594551</v>
      </c>
      <c r="N92" s="8">
        <v>100</v>
      </c>
      <c r="O92" s="8">
        <v>3.7355040483826207</v>
      </c>
      <c r="P92" s="6"/>
    </row>
    <row r="93" spans="1:31" x14ac:dyDescent="0.2">
      <c r="B93" s="23" t="s">
        <v>34</v>
      </c>
      <c r="C93" s="8">
        <v>75.623210704387148</v>
      </c>
      <c r="D93" s="8">
        <v>0.35262486413058269</v>
      </c>
      <c r="E93" s="8">
        <v>13.138038090846143</v>
      </c>
      <c r="F93" s="8">
        <v>1.8102616732152417</v>
      </c>
      <c r="G93" s="8">
        <v>2.4809512147828217E-2</v>
      </c>
      <c r="H93" s="8">
        <v>0.27419950838369112</v>
      </c>
      <c r="I93" s="8">
        <v>1.4834550471962624</v>
      </c>
      <c r="J93" s="8">
        <v>3.2669957754935428</v>
      </c>
      <c r="K93" s="8">
        <v>3.759202580205403</v>
      </c>
      <c r="L93" s="8">
        <v>2.8049786978403803E-2</v>
      </c>
      <c r="M93" s="8">
        <v>0.30886674354690125</v>
      </c>
      <c r="N93" s="8">
        <v>100</v>
      </c>
      <c r="O93" s="8">
        <v>2.931220793379326</v>
      </c>
      <c r="P93" s="6"/>
    </row>
    <row r="94" spans="1:31" x14ac:dyDescent="0.2">
      <c r="B94" s="24" t="s">
        <v>20</v>
      </c>
      <c r="C94" s="18">
        <f>AVERAGE(C88:C93)</f>
        <v>75.841945537225044</v>
      </c>
      <c r="D94" s="18">
        <f t="shared" ref="D94:O94" si="13">AVERAGE(D88:D93)</f>
        <v>0.30777429577054433</v>
      </c>
      <c r="E94" s="18">
        <f t="shared" si="13"/>
        <v>13.131838193244853</v>
      </c>
      <c r="F94" s="18">
        <f t="shared" si="13"/>
        <v>1.7601166254355707</v>
      </c>
      <c r="G94" s="18">
        <f t="shared" si="13"/>
        <v>4.8200999162425602E-2</v>
      </c>
      <c r="H94" s="18">
        <f t="shared" si="13"/>
        <v>0.29415828771895774</v>
      </c>
      <c r="I94" s="18">
        <f t="shared" si="13"/>
        <v>1.4569370511547757</v>
      </c>
      <c r="J94" s="18">
        <f t="shared" si="13"/>
        <v>3.2451223275362167</v>
      </c>
      <c r="K94" s="18">
        <f t="shared" si="13"/>
        <v>3.676469537538972</v>
      </c>
      <c r="L94" s="18">
        <f t="shared" si="13"/>
        <v>2.6974641597132212E-2</v>
      </c>
      <c r="M94" s="18">
        <f t="shared" si="13"/>
        <v>0.27178992303732186</v>
      </c>
      <c r="N94" s="18">
        <f t="shared" si="13"/>
        <v>100</v>
      </c>
      <c r="O94" s="18">
        <f t="shared" si="13"/>
        <v>3.7340565337030807</v>
      </c>
      <c r="P94" s="6"/>
    </row>
    <row r="95" spans="1:31" x14ac:dyDescent="0.2">
      <c r="B95" s="24" t="s">
        <v>21</v>
      </c>
      <c r="C95" s="18">
        <f t="shared" ref="C95:O95" si="14">STDEV(C88:C93)</f>
        <v>0.26087997577020811</v>
      </c>
      <c r="D95" s="18">
        <f t="shared" si="14"/>
        <v>4.1673626208720144E-2</v>
      </c>
      <c r="E95" s="18">
        <f t="shared" si="14"/>
        <v>0.10446103824688477</v>
      </c>
      <c r="F95" s="18">
        <f t="shared" si="14"/>
        <v>5.4884943710601021E-2</v>
      </c>
      <c r="G95" s="18">
        <f t="shared" si="14"/>
        <v>1.501643961243899E-2</v>
      </c>
      <c r="H95" s="18">
        <f t="shared" si="14"/>
        <v>1.7192131823084728E-2</v>
      </c>
      <c r="I95" s="18">
        <f t="shared" si="14"/>
        <v>5.3169655224066387E-2</v>
      </c>
      <c r="J95" s="18">
        <f t="shared" si="14"/>
        <v>0.15381789012263933</v>
      </c>
      <c r="K95" s="18">
        <f t="shared" si="14"/>
        <v>8.47174784376067E-2</v>
      </c>
      <c r="L95" s="18">
        <f t="shared" si="14"/>
        <v>2.3976791912123603E-2</v>
      </c>
      <c r="M95" s="18">
        <f t="shared" si="14"/>
        <v>5.0302818719162389E-2</v>
      </c>
      <c r="N95" s="18">
        <f t="shared" si="14"/>
        <v>0</v>
      </c>
      <c r="O95" s="18">
        <f t="shared" si="14"/>
        <v>0.657819492639653</v>
      </c>
      <c r="P95" s="6"/>
    </row>
    <row r="96" spans="1:31" x14ac:dyDescent="0.2">
      <c r="B96" s="2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6"/>
      <c r="S96" s="4"/>
      <c r="T96" s="4"/>
      <c r="U96" s="4"/>
      <c r="V96" s="4"/>
      <c r="W96" s="4"/>
      <c r="X96" s="4"/>
      <c r="Y96" s="4"/>
      <c r="Z96" s="4"/>
      <c r="AA96" s="4"/>
      <c r="AB96" s="4"/>
      <c r="AC96" s="8"/>
      <c r="AD96" s="4"/>
      <c r="AE96" s="4"/>
    </row>
    <row r="97" spans="1:16" x14ac:dyDescent="0.2">
      <c r="A97" s="1" t="s">
        <v>76</v>
      </c>
      <c r="B97" s="23" t="s">
        <v>114</v>
      </c>
      <c r="C97" s="8">
        <v>74.934079655187873</v>
      </c>
      <c r="D97" s="8">
        <v>0.5823114882723105</v>
      </c>
      <c r="E97" s="8">
        <v>13.557712140833011</v>
      </c>
      <c r="F97" s="8">
        <v>2.2479337100626147</v>
      </c>
      <c r="G97" s="8">
        <v>9.5560380022792851E-2</v>
      </c>
      <c r="H97" s="8">
        <v>0.47379335660213695</v>
      </c>
      <c r="I97" s="8">
        <v>2.2755591588891813</v>
      </c>
      <c r="J97" s="8">
        <v>3.4835120283905439</v>
      </c>
      <c r="K97" s="8">
        <v>2.0524841880279849</v>
      </c>
      <c r="L97" s="8">
        <v>2.472974378506727E-2</v>
      </c>
      <c r="M97" s="8">
        <v>0.35175841198277474</v>
      </c>
      <c r="N97" s="8">
        <v>100</v>
      </c>
      <c r="O97" s="8">
        <v>5.6826657481507201</v>
      </c>
      <c r="P97" s="1" t="s">
        <v>81</v>
      </c>
    </row>
    <row r="98" spans="1:16" x14ac:dyDescent="0.2">
      <c r="B98" s="23" t="s">
        <v>115</v>
      </c>
      <c r="C98" s="8">
        <v>75.679966022412756</v>
      </c>
      <c r="D98" s="8">
        <v>0.35235856191989645</v>
      </c>
      <c r="E98" s="8">
        <v>12.824800359100186</v>
      </c>
      <c r="F98" s="8">
        <v>1.9752430518128816</v>
      </c>
      <c r="G98" s="8">
        <v>7.0485737778430035E-2</v>
      </c>
      <c r="H98" s="8">
        <v>0.22709451181493664</v>
      </c>
      <c r="I98" s="8">
        <v>1.3890730337356603</v>
      </c>
      <c r="J98" s="8">
        <v>3.722329523897709</v>
      </c>
      <c r="K98" s="8">
        <v>3.3449651065382424</v>
      </c>
      <c r="L98" s="8">
        <v>0.14252951394040994</v>
      </c>
      <c r="M98" s="8">
        <v>0.35021816476676143</v>
      </c>
      <c r="N98" s="8">
        <v>100</v>
      </c>
      <c r="O98" s="8">
        <v>1.6332931213214101</v>
      </c>
      <c r="P98" s="6"/>
    </row>
    <row r="99" spans="1:16" x14ac:dyDescent="0.2">
      <c r="B99" s="23" t="s">
        <v>116</v>
      </c>
      <c r="C99" s="8">
        <v>75.743070387862886</v>
      </c>
      <c r="D99" s="8">
        <v>0.4530604955181477</v>
      </c>
      <c r="E99" s="8">
        <v>12.979361489411367</v>
      </c>
      <c r="F99" s="8">
        <v>1.7873079774777034</v>
      </c>
      <c r="G99" s="8">
        <v>1.2216083893794459E-2</v>
      </c>
      <c r="H99" s="8">
        <v>0.42921920010044251</v>
      </c>
      <c r="I99" s="8">
        <v>1.9978366122814759</v>
      </c>
      <c r="J99" s="8">
        <v>3.9758021058223423</v>
      </c>
      <c r="K99" s="8">
        <v>2.3476350787881479</v>
      </c>
      <c r="L99" s="8">
        <v>7.8966449871034461E-2</v>
      </c>
      <c r="M99" s="8">
        <v>0.25256758509258831</v>
      </c>
      <c r="N99" s="8">
        <v>100</v>
      </c>
      <c r="O99" s="8">
        <v>1.1767756650195522</v>
      </c>
      <c r="P99" s="6"/>
    </row>
    <row r="100" spans="1:16" x14ac:dyDescent="0.2">
      <c r="B100" s="23" t="s">
        <v>117</v>
      </c>
      <c r="C100" s="8">
        <v>76.033565259827867</v>
      </c>
      <c r="D100" s="8">
        <v>0.45573812274281977</v>
      </c>
      <c r="E100" s="8">
        <v>12.699904682786279</v>
      </c>
      <c r="F100" s="8">
        <v>1.9715014775973663</v>
      </c>
      <c r="G100" s="8">
        <v>3.2567915503005196E-2</v>
      </c>
      <c r="H100" s="8">
        <v>0.44135300105421321</v>
      </c>
      <c r="I100" s="8">
        <v>2.0851439389373576</v>
      </c>
      <c r="J100" s="8">
        <v>3.8348782155310137</v>
      </c>
      <c r="K100" s="8">
        <v>2.0923159496078205</v>
      </c>
      <c r="L100" s="8">
        <v>4.4137663375413021E-2</v>
      </c>
      <c r="M100" s="8">
        <v>0.39904122062456115</v>
      </c>
      <c r="N100" s="8">
        <v>100</v>
      </c>
      <c r="O100" s="8">
        <v>2.7508692043323917</v>
      </c>
      <c r="P100" s="6"/>
    </row>
    <row r="101" spans="1:16" x14ac:dyDescent="0.2">
      <c r="B101" s="23" t="s">
        <v>118</v>
      </c>
      <c r="C101" s="8">
        <v>76.119751547413244</v>
      </c>
      <c r="D101" s="8">
        <v>0.39938090557463796</v>
      </c>
      <c r="E101" s="8">
        <v>12.904521421132852</v>
      </c>
      <c r="F101" s="8">
        <v>2.067560458778567</v>
      </c>
      <c r="G101" s="8">
        <v>4.9112414666504879E-2</v>
      </c>
      <c r="H101" s="8">
        <v>0.48158047894947342</v>
      </c>
      <c r="I101" s="8">
        <v>2.1313885736326283</v>
      </c>
      <c r="J101" s="8">
        <v>3.4722677777684585</v>
      </c>
      <c r="K101" s="8">
        <v>2.1386797239573747</v>
      </c>
      <c r="L101" s="8">
        <v>7.9485758344744958E-2</v>
      </c>
      <c r="M101" s="8">
        <v>0.20179480504235914</v>
      </c>
      <c r="N101" s="8">
        <v>100</v>
      </c>
      <c r="O101" s="8">
        <v>1.8317084461732107</v>
      </c>
      <c r="P101" s="6"/>
    </row>
    <row r="102" spans="1:16" x14ac:dyDescent="0.2">
      <c r="B102" s="23" t="s">
        <v>119</v>
      </c>
      <c r="C102" s="8">
        <v>76.148242855101103</v>
      </c>
      <c r="D102" s="8">
        <v>0.38766067218141725</v>
      </c>
      <c r="E102" s="8">
        <v>12.876305783030384</v>
      </c>
      <c r="F102" s="8">
        <v>1.9941305867425918</v>
      </c>
      <c r="G102" s="8">
        <v>1.537463268495598E-2</v>
      </c>
      <c r="H102" s="8">
        <v>0.47222115194867509</v>
      </c>
      <c r="I102" s="8">
        <v>2.0158688918964862</v>
      </c>
      <c r="J102" s="8">
        <v>3.5844683370481079</v>
      </c>
      <c r="K102" s="8">
        <v>2.1221982224454905</v>
      </c>
      <c r="L102" s="8">
        <v>0.13925649918468505</v>
      </c>
      <c r="M102" s="8">
        <v>0.31536731655908312</v>
      </c>
      <c r="N102" s="8">
        <v>100</v>
      </c>
      <c r="O102" s="8">
        <v>1.818759503019735</v>
      </c>
      <c r="P102" s="6"/>
    </row>
    <row r="103" spans="1:16" x14ac:dyDescent="0.2">
      <c r="B103" s="23" t="s">
        <v>120</v>
      </c>
      <c r="C103" s="8">
        <v>76.173378133835314</v>
      </c>
      <c r="D103" s="8">
        <v>0.3879326073445894</v>
      </c>
      <c r="E103" s="8">
        <v>12.793395018783729</v>
      </c>
      <c r="F103" s="8">
        <v>1.9652044742379922</v>
      </c>
      <c r="G103" s="8">
        <v>7.0844930283183088E-2</v>
      </c>
      <c r="H103" s="8">
        <v>0.44357524950394056</v>
      </c>
      <c r="I103" s="8">
        <v>2.1120179441055171</v>
      </c>
      <c r="J103" s="8">
        <v>3.7083245915665213</v>
      </c>
      <c r="K103" s="8">
        <v>2.1182998813467697</v>
      </c>
      <c r="L103" s="8">
        <v>2.3933670162568491E-2</v>
      </c>
      <c r="M103" s="8">
        <v>0.26227956217459242</v>
      </c>
      <c r="N103" s="8">
        <v>100</v>
      </c>
      <c r="O103" s="8">
        <v>2.1453209959817827</v>
      </c>
      <c r="P103" s="6"/>
    </row>
    <row r="104" spans="1:16" x14ac:dyDescent="0.2">
      <c r="B104" s="23" t="s">
        <v>121</v>
      </c>
      <c r="C104" s="8">
        <v>76.211489678105409</v>
      </c>
      <c r="D104" s="8">
        <v>0.33724246788910406</v>
      </c>
      <c r="E104" s="8">
        <v>12.942905649211298</v>
      </c>
      <c r="F104" s="8">
        <v>1.7235471566453067</v>
      </c>
      <c r="G104" s="8">
        <v>3.2165849027375397E-2</v>
      </c>
      <c r="H104" s="8">
        <v>0.42365155207557698</v>
      </c>
      <c r="I104" s="8">
        <v>1.947150411959198</v>
      </c>
      <c r="J104" s="8">
        <v>3.8879321521266088</v>
      </c>
      <c r="K104" s="8">
        <v>2.1997169262497538</v>
      </c>
      <c r="L104" s="8">
        <v>0.13084273937073587</v>
      </c>
      <c r="M104" s="8">
        <v>0.21109814514437963</v>
      </c>
      <c r="N104" s="8">
        <v>100</v>
      </c>
      <c r="O104" s="8">
        <v>1.411971206808091</v>
      </c>
      <c r="P104" s="6"/>
    </row>
    <row r="105" spans="1:16" x14ac:dyDescent="0.2">
      <c r="B105" s="23" t="s">
        <v>122</v>
      </c>
      <c r="C105" s="8">
        <v>76.265187252644182</v>
      </c>
      <c r="D105" s="8">
        <v>0.37410666466399178</v>
      </c>
      <c r="E105" s="8">
        <v>12.577703838615498</v>
      </c>
      <c r="F105" s="8">
        <v>1.9137623882561479</v>
      </c>
      <c r="G105" s="8">
        <v>1.8481407391107138E-2</v>
      </c>
      <c r="H105" s="8">
        <v>0.41832449305877079</v>
      </c>
      <c r="I105" s="8">
        <v>1.8926299927686352</v>
      </c>
      <c r="J105" s="8">
        <v>3.694801904418584</v>
      </c>
      <c r="K105" s="8">
        <v>2.4987552580287691</v>
      </c>
      <c r="L105" s="8">
        <v>0.10354669709735972</v>
      </c>
      <c r="M105" s="8">
        <v>0.31326965107823657</v>
      </c>
      <c r="N105" s="8">
        <v>100</v>
      </c>
      <c r="O105" s="8">
        <v>2.0395726099113203</v>
      </c>
      <c r="P105" s="6"/>
    </row>
    <row r="106" spans="1:16" x14ac:dyDescent="0.2">
      <c r="B106" s="23" t="s">
        <v>123</v>
      </c>
      <c r="C106" s="8">
        <v>76.376633283965873</v>
      </c>
      <c r="D106" s="8">
        <v>0.36364441533449138</v>
      </c>
      <c r="E106" s="8">
        <v>12.795074123116501</v>
      </c>
      <c r="F106" s="8">
        <v>1.939086431744427</v>
      </c>
      <c r="G106" s="8">
        <v>1.8490671346261766E-2</v>
      </c>
      <c r="H106" s="8">
        <v>0.45371280273065184</v>
      </c>
      <c r="I106" s="8">
        <v>2.102526375762463</v>
      </c>
      <c r="J106" s="8">
        <v>3.5241910511897316</v>
      </c>
      <c r="K106" s="8">
        <v>2.1496530425564755</v>
      </c>
      <c r="L106" s="8">
        <v>0</v>
      </c>
      <c r="M106" s="8">
        <v>0.35765846957178837</v>
      </c>
      <c r="N106" s="8">
        <v>100</v>
      </c>
      <c r="O106" s="8">
        <v>2.2714123133947335</v>
      </c>
      <c r="P106" s="6"/>
    </row>
    <row r="107" spans="1:16" x14ac:dyDescent="0.2">
      <c r="B107" s="23" t="s">
        <v>124</v>
      </c>
      <c r="C107" s="8">
        <v>76.664926545088974</v>
      </c>
      <c r="D107" s="8">
        <v>0.32720939821331513</v>
      </c>
      <c r="E107" s="8">
        <v>12.509656401552652</v>
      </c>
      <c r="F107" s="8">
        <v>1.9229650084620822</v>
      </c>
      <c r="G107" s="8">
        <v>1.8601478773580225E-2</v>
      </c>
      <c r="H107" s="8">
        <v>0.39866876833637188</v>
      </c>
      <c r="I107" s="8">
        <v>1.9891029142546219</v>
      </c>
      <c r="J107" s="8">
        <v>3.6979653441173514</v>
      </c>
      <c r="K107" s="8">
        <v>2.1483664458312157</v>
      </c>
      <c r="L107" s="8">
        <v>4.0168008383561563E-3</v>
      </c>
      <c r="M107" s="8">
        <v>0.41142444993388527</v>
      </c>
      <c r="N107" s="8">
        <v>100</v>
      </c>
      <c r="O107" s="8">
        <v>2.8103618724381012</v>
      </c>
      <c r="P107" s="6"/>
    </row>
    <row r="108" spans="1:16" x14ac:dyDescent="0.2">
      <c r="B108" s="23" t="s">
        <v>125</v>
      </c>
      <c r="C108" s="8">
        <v>76.674515590808596</v>
      </c>
      <c r="D108" s="8">
        <v>0.37177984434304606</v>
      </c>
      <c r="E108" s="8">
        <v>12.712296950489621</v>
      </c>
      <c r="F108" s="8">
        <v>1.8006096939813274</v>
      </c>
      <c r="G108" s="8">
        <v>7.8429786932895498E-2</v>
      </c>
      <c r="H108" s="8">
        <v>0.39289783651973104</v>
      </c>
      <c r="I108" s="8">
        <v>1.9854740366677397</v>
      </c>
      <c r="J108" s="8">
        <v>3.5271405127804898</v>
      </c>
      <c r="K108" s="8">
        <v>2.0347559393092864</v>
      </c>
      <c r="L108" s="8">
        <v>0.11787507173398026</v>
      </c>
      <c r="M108" s="8">
        <v>0.39282086605127442</v>
      </c>
      <c r="N108" s="8">
        <v>100</v>
      </c>
      <c r="O108" s="8">
        <v>4.014146562995494</v>
      </c>
      <c r="P108" s="6"/>
    </row>
    <row r="109" spans="1:16" x14ac:dyDescent="0.2">
      <c r="B109" s="23" t="s">
        <v>126</v>
      </c>
      <c r="C109" s="8">
        <v>76.708342108743224</v>
      </c>
      <c r="D109" s="8">
        <v>0.34528831711973801</v>
      </c>
      <c r="E109" s="8">
        <v>12.715620387275292</v>
      </c>
      <c r="F109" s="8">
        <v>2.0467155340633076</v>
      </c>
      <c r="G109" s="8">
        <v>4.4618790608529808E-2</v>
      </c>
      <c r="H109" s="8">
        <v>0.42553211713136763</v>
      </c>
      <c r="I109" s="8">
        <v>1.9541033709979727</v>
      </c>
      <c r="J109" s="8">
        <v>3.3675182952230176</v>
      </c>
      <c r="K109" s="8">
        <v>2.2030425788495527</v>
      </c>
      <c r="L109" s="8">
        <v>2.3920130378849918E-2</v>
      </c>
      <c r="M109" s="8">
        <v>0.21334073780965809</v>
      </c>
      <c r="N109" s="8">
        <v>100</v>
      </c>
      <c r="O109" s="8">
        <v>2.0744660700261095</v>
      </c>
      <c r="P109" s="6"/>
    </row>
    <row r="110" spans="1:16" x14ac:dyDescent="0.2">
      <c r="B110" s="23" t="s">
        <v>127</v>
      </c>
      <c r="C110" s="8">
        <v>76.713350746367155</v>
      </c>
      <c r="D110" s="8">
        <v>0.49933165986466793</v>
      </c>
      <c r="E110" s="8">
        <v>11.775933499258514</v>
      </c>
      <c r="F110" s="8">
        <v>2.2819146788074289</v>
      </c>
      <c r="G110" s="8">
        <v>2.7705855252365564E-2</v>
      </c>
      <c r="H110" s="8">
        <v>0.30522721069756403</v>
      </c>
      <c r="I110" s="8">
        <v>0.87437366183497989</v>
      </c>
      <c r="J110" s="8">
        <v>3.5908602839711818</v>
      </c>
      <c r="K110" s="8">
        <v>3.7832657458126211</v>
      </c>
      <c r="L110" s="8">
        <v>0</v>
      </c>
      <c r="M110" s="8">
        <v>0.19118051547735607</v>
      </c>
      <c r="N110" s="8">
        <v>100</v>
      </c>
      <c r="O110" s="8">
        <v>2.1640003405935317</v>
      </c>
      <c r="P110" s="6"/>
    </row>
    <row r="111" spans="1:16" x14ac:dyDescent="0.2">
      <c r="B111" s="23" t="s">
        <v>128</v>
      </c>
      <c r="C111" s="8">
        <v>76.779381041052432</v>
      </c>
      <c r="D111" s="8">
        <v>0.35681006549635613</v>
      </c>
      <c r="E111" s="8">
        <v>12.605423650342457</v>
      </c>
      <c r="F111" s="8">
        <v>1.8813089053531185</v>
      </c>
      <c r="G111" s="8">
        <v>6.4402723235461146E-2</v>
      </c>
      <c r="H111" s="8">
        <v>0.3809373123906189</v>
      </c>
      <c r="I111" s="8">
        <v>1.9327428011225671</v>
      </c>
      <c r="J111" s="8">
        <v>3.5388493430725325</v>
      </c>
      <c r="K111" s="8">
        <v>2.1826401353237457</v>
      </c>
      <c r="L111" s="8">
        <v>0</v>
      </c>
      <c r="M111" s="8">
        <v>0.35833772441361367</v>
      </c>
      <c r="N111" s="8">
        <v>100</v>
      </c>
      <c r="O111" s="8">
        <v>1.7083167281962253</v>
      </c>
      <c r="P111" s="6"/>
    </row>
    <row r="112" spans="1:16" x14ac:dyDescent="0.2">
      <c r="B112" s="23" t="s">
        <v>129</v>
      </c>
      <c r="C112" s="8">
        <v>76.867046127945557</v>
      </c>
      <c r="D112" s="8">
        <v>0.39508314127296101</v>
      </c>
      <c r="E112" s="8">
        <v>12.788246806360966</v>
      </c>
      <c r="F112" s="8">
        <v>1.7175593454922884</v>
      </c>
      <c r="G112" s="8">
        <v>4.051851563556242E-2</v>
      </c>
      <c r="H112" s="8">
        <v>0.34227518260049833</v>
      </c>
      <c r="I112" s="8">
        <v>1.7063383252645603</v>
      </c>
      <c r="J112" s="8">
        <v>3.2471485370501667</v>
      </c>
      <c r="K112" s="8">
        <v>2.610131115492774</v>
      </c>
      <c r="L112" s="8">
        <v>3.6302632782752635E-2</v>
      </c>
      <c r="M112" s="8">
        <v>0.32205670033920242</v>
      </c>
      <c r="N112" s="8">
        <v>100</v>
      </c>
      <c r="O112" s="8">
        <v>3.229256924823364</v>
      </c>
      <c r="P112" s="6"/>
    </row>
    <row r="113" spans="1:30" x14ac:dyDescent="0.2">
      <c r="B113" s="23" t="s">
        <v>130</v>
      </c>
      <c r="C113" s="8">
        <v>77.018905332299738</v>
      </c>
      <c r="D113" s="8">
        <v>0.39615150453200565</v>
      </c>
      <c r="E113" s="8">
        <v>12.368790854017174</v>
      </c>
      <c r="F113" s="8">
        <v>1.9138059203810287</v>
      </c>
      <c r="G113" s="8">
        <v>5.1655644403088632E-2</v>
      </c>
      <c r="H113" s="8">
        <v>0.42445167332107919</v>
      </c>
      <c r="I113" s="8">
        <v>2.0308220220930573</v>
      </c>
      <c r="J113" s="8">
        <v>3.4385960972666871</v>
      </c>
      <c r="K113" s="8">
        <v>2.113742160160947</v>
      </c>
      <c r="L113" s="8">
        <v>0</v>
      </c>
      <c r="M113" s="8">
        <v>0.31378250669836327</v>
      </c>
      <c r="N113" s="8">
        <v>100</v>
      </c>
      <c r="O113" s="8">
        <v>3.7928878055952366</v>
      </c>
      <c r="P113" s="6"/>
    </row>
    <row r="114" spans="1:30" x14ac:dyDescent="0.2">
      <c r="B114" s="23" t="s">
        <v>131</v>
      </c>
      <c r="C114" s="8">
        <v>77.050282396707232</v>
      </c>
      <c r="D114" s="8">
        <v>0.43461859246716444</v>
      </c>
      <c r="E114" s="8">
        <v>12.331613920089479</v>
      </c>
      <c r="F114" s="8">
        <v>1.839420105121468</v>
      </c>
      <c r="G114" s="8">
        <v>6.7647669929466761E-2</v>
      </c>
      <c r="H114" s="8">
        <v>0.37030775290454426</v>
      </c>
      <c r="I114" s="8">
        <v>1.7314057456870278</v>
      </c>
      <c r="J114" s="8">
        <v>3.5403179782964784</v>
      </c>
      <c r="K114" s="8">
        <v>2.2233082893634437</v>
      </c>
      <c r="L114" s="8">
        <v>0.19504577672372791</v>
      </c>
      <c r="M114" s="8">
        <v>0.2789510786815374</v>
      </c>
      <c r="N114" s="8">
        <v>100</v>
      </c>
      <c r="O114" s="8">
        <v>1.7947030764679319</v>
      </c>
    </row>
    <row r="115" spans="1:30" x14ac:dyDescent="0.2">
      <c r="B115" s="23" t="s">
        <v>132</v>
      </c>
      <c r="C115" s="8">
        <v>77.764078554153684</v>
      </c>
      <c r="D115" s="8">
        <v>0.34626195295498685</v>
      </c>
      <c r="E115" s="8">
        <v>12.09669073606576</v>
      </c>
      <c r="F115" s="8">
        <v>1.7787157981004955</v>
      </c>
      <c r="G115" s="8">
        <v>3.7132162508152967E-2</v>
      </c>
      <c r="H115" s="8">
        <v>0.3664272059367556</v>
      </c>
      <c r="I115" s="8">
        <v>1.6138047386279275</v>
      </c>
      <c r="J115" s="8">
        <v>3.4099324866714915</v>
      </c>
      <c r="K115" s="8">
        <v>2.325797624609697</v>
      </c>
      <c r="L115" s="8">
        <v>0</v>
      </c>
      <c r="M115" s="8">
        <v>0.33728116039895673</v>
      </c>
      <c r="N115" s="8">
        <v>100</v>
      </c>
      <c r="O115" s="8">
        <v>2.54387481194378</v>
      </c>
      <c r="P115" s="6"/>
    </row>
    <row r="116" spans="1:30" x14ac:dyDescent="0.2">
      <c r="B116" s="24" t="s">
        <v>20</v>
      </c>
      <c r="C116" s="18">
        <f>AVERAGE(C97:C115)</f>
        <v>76.417168027343322</v>
      </c>
      <c r="D116" s="18">
        <f t="shared" ref="D116:O116" si="15">AVERAGE(D97:D115)</f>
        <v>0.39820899356345513</v>
      </c>
      <c r="E116" s="18">
        <f t="shared" si="15"/>
        <v>12.676629353235422</v>
      </c>
      <c r="F116" s="18">
        <f t="shared" si="15"/>
        <v>1.9351733001641127</v>
      </c>
      <c r="G116" s="18">
        <f t="shared" si="15"/>
        <v>4.4526981572448103E-2</v>
      </c>
      <c r="H116" s="18">
        <f t="shared" si="15"/>
        <v>0.40375004514091306</v>
      </c>
      <c r="I116" s="18">
        <f t="shared" si="15"/>
        <v>1.8824927658167927</v>
      </c>
      <c r="J116" s="18">
        <f t="shared" si="15"/>
        <v>3.5919387666425804</v>
      </c>
      <c r="K116" s="18">
        <f t="shared" si="15"/>
        <v>2.3520922848579007</v>
      </c>
      <c r="L116" s="18">
        <f t="shared" si="15"/>
        <v>6.0241534083667669E-2</v>
      </c>
      <c r="M116" s="18">
        <f t="shared" si="15"/>
        <v>0.30706468799163006</v>
      </c>
      <c r="N116" s="18">
        <f t="shared" si="15"/>
        <v>100</v>
      </c>
      <c r="O116" s="18">
        <f t="shared" si="15"/>
        <v>2.4681243687996162</v>
      </c>
      <c r="P116" s="6"/>
    </row>
    <row r="117" spans="1:30" x14ac:dyDescent="0.2">
      <c r="B117" s="24" t="s">
        <v>21</v>
      </c>
      <c r="C117" s="18">
        <f t="shared" ref="C117:O117" si="16">STDEV(C97:C115)</f>
        <v>0.61655985485709253</v>
      </c>
      <c r="D117" s="18">
        <f t="shared" si="16"/>
        <v>6.3483565785925178E-2</v>
      </c>
      <c r="E117" s="18">
        <f t="shared" si="16"/>
        <v>0.37269225881157259</v>
      </c>
      <c r="F117" s="18">
        <f t="shared" si="16"/>
        <v>0.15367013046471387</v>
      </c>
      <c r="G117" s="18">
        <f t="shared" si="16"/>
        <v>2.4373856833844593E-2</v>
      </c>
      <c r="H117" s="18">
        <f t="shared" si="16"/>
        <v>6.2883002496916265E-2</v>
      </c>
      <c r="I117" s="18">
        <f t="shared" si="16"/>
        <v>0.31897708427719373</v>
      </c>
      <c r="J117" s="18">
        <f t="shared" si="16"/>
        <v>0.18448787025000687</v>
      </c>
      <c r="K117" s="18">
        <f t="shared" si="16"/>
        <v>0.45728033693204018</v>
      </c>
      <c r="L117" s="18">
        <f t="shared" si="16"/>
        <v>6.1520884360210852E-2</v>
      </c>
      <c r="M117" s="18">
        <f t="shared" si="16"/>
        <v>6.8845315190169121E-2</v>
      </c>
      <c r="N117" s="18">
        <f t="shared" si="16"/>
        <v>0</v>
      </c>
      <c r="O117" s="18">
        <f t="shared" si="16"/>
        <v>1.084540140352843</v>
      </c>
      <c r="P117" s="6"/>
    </row>
    <row r="118" spans="1:30" x14ac:dyDescent="0.2">
      <c r="B118" s="2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6"/>
    </row>
    <row r="119" spans="1:30" x14ac:dyDescent="0.2">
      <c r="A119" s="1" t="s">
        <v>76</v>
      </c>
      <c r="B119" s="23" t="s">
        <v>135</v>
      </c>
      <c r="C119" s="8">
        <v>75.805050498712561</v>
      </c>
      <c r="D119" s="8">
        <v>0.40350357315173818</v>
      </c>
      <c r="E119" s="8">
        <v>12.885222765025992</v>
      </c>
      <c r="F119" s="8">
        <v>2.0703873750037118</v>
      </c>
      <c r="G119" s="8">
        <v>8.3496480880235285E-2</v>
      </c>
      <c r="H119" s="8">
        <v>0.4479374925810804</v>
      </c>
      <c r="I119" s="8">
        <v>2.105296086284604</v>
      </c>
      <c r="J119" s="8">
        <v>3.8031363030611374</v>
      </c>
      <c r="K119" s="8">
        <v>2.0683002187606574</v>
      </c>
      <c r="L119" s="8">
        <v>1.5975953301615907E-2</v>
      </c>
      <c r="M119" s="8">
        <v>0.40249580408340058</v>
      </c>
      <c r="N119" s="8">
        <v>100</v>
      </c>
      <c r="O119" s="8">
        <v>2.3115805418885991</v>
      </c>
      <c r="P119" s="1" t="s">
        <v>81</v>
      </c>
    </row>
    <row r="120" spans="1:30" x14ac:dyDescent="0.2">
      <c r="B120" s="23" t="s">
        <v>136</v>
      </c>
      <c r="C120" s="8">
        <v>76.053880668839724</v>
      </c>
      <c r="D120" s="8">
        <v>0.36670747622854571</v>
      </c>
      <c r="E120" s="8">
        <v>12.947489301707355</v>
      </c>
      <c r="F120" s="8">
        <v>1.9960767997196223</v>
      </c>
      <c r="G120" s="8">
        <v>3.6991659306383914E-2</v>
      </c>
      <c r="H120" s="8">
        <v>0.44391727481670878</v>
      </c>
      <c r="I120" s="8">
        <v>2.1361156314468932</v>
      </c>
      <c r="J120" s="8">
        <v>3.6278851337144169</v>
      </c>
      <c r="K120" s="8">
        <v>2.1216327298795914</v>
      </c>
      <c r="L120" s="8">
        <v>0</v>
      </c>
      <c r="M120" s="8">
        <v>0.34773467090314431</v>
      </c>
      <c r="N120" s="8">
        <v>100</v>
      </c>
      <c r="O120" s="8">
        <v>2.1361182461315247</v>
      </c>
      <c r="P120" s="6"/>
    </row>
    <row r="121" spans="1:30" x14ac:dyDescent="0.2">
      <c r="B121" s="23" t="s">
        <v>137</v>
      </c>
      <c r="C121" s="8">
        <v>76.154140967063114</v>
      </c>
      <c r="D121" s="8">
        <v>0.38076890781651318</v>
      </c>
      <c r="E121" s="8">
        <v>13.028488513521225</v>
      </c>
      <c r="F121" s="8">
        <v>2.2596816505484609</v>
      </c>
      <c r="G121" s="8">
        <v>3.0873486135112064E-3</v>
      </c>
      <c r="H121" s="8">
        <v>0.51649880897714351</v>
      </c>
      <c r="I121" s="8">
        <v>2.0810119524020969</v>
      </c>
      <c r="J121" s="8">
        <v>3.1329077003004588</v>
      </c>
      <c r="K121" s="8">
        <v>2.1984354398871808</v>
      </c>
      <c r="L121" s="8">
        <v>3.5915848948440202E-2</v>
      </c>
      <c r="M121" s="8">
        <v>0.27003416467947022</v>
      </c>
      <c r="N121" s="8">
        <v>100</v>
      </c>
      <c r="O121" s="8">
        <v>2.1962467233103773</v>
      </c>
      <c r="P121" s="6"/>
    </row>
    <row r="122" spans="1:30" x14ac:dyDescent="0.2">
      <c r="B122" s="23" t="s">
        <v>138</v>
      </c>
      <c r="C122" s="8">
        <v>76.213760408271085</v>
      </c>
      <c r="D122" s="8">
        <v>0.35664185721102093</v>
      </c>
      <c r="E122" s="8">
        <v>12.756372828824237</v>
      </c>
      <c r="F122" s="8">
        <v>1.9471877564761124</v>
      </c>
      <c r="G122" s="8">
        <v>5.4391679213111395E-2</v>
      </c>
      <c r="H122" s="8">
        <v>0.47804970615798781</v>
      </c>
      <c r="I122" s="8">
        <v>1.9923898517728449</v>
      </c>
      <c r="J122" s="8">
        <v>3.8156781918279647</v>
      </c>
      <c r="K122" s="8">
        <v>2.0821870957066575</v>
      </c>
      <c r="L122" s="8">
        <v>4.4209377455099237E-2</v>
      </c>
      <c r="M122" s="8">
        <v>0.33465598600752167</v>
      </c>
      <c r="N122" s="8">
        <v>100</v>
      </c>
      <c r="O122" s="8">
        <v>2.8723151951116681</v>
      </c>
      <c r="P122" s="6"/>
    </row>
    <row r="123" spans="1:30" x14ac:dyDescent="0.2">
      <c r="B123" s="23" t="s">
        <v>139</v>
      </c>
      <c r="C123" s="8">
        <v>76.472869226004292</v>
      </c>
      <c r="D123" s="8">
        <v>0.39796964562946568</v>
      </c>
      <c r="E123" s="8">
        <v>12.641802903683475</v>
      </c>
      <c r="F123" s="8">
        <v>1.9515565783340314</v>
      </c>
      <c r="G123" s="8">
        <v>3.1173726198809096E-2</v>
      </c>
      <c r="H123" s="8">
        <v>0.43152218910565465</v>
      </c>
      <c r="I123" s="8">
        <v>1.9788959928243854</v>
      </c>
      <c r="J123" s="8">
        <v>3.8116866960116909</v>
      </c>
      <c r="K123" s="8">
        <v>2.0215623606943089</v>
      </c>
      <c r="L123" s="8">
        <v>0</v>
      </c>
      <c r="M123" s="8">
        <v>0.33691916846745917</v>
      </c>
      <c r="N123" s="8">
        <v>100</v>
      </c>
      <c r="O123" s="8">
        <v>2.9345425088627981</v>
      </c>
      <c r="P123" s="6"/>
    </row>
    <row r="124" spans="1:30" x14ac:dyDescent="0.2">
      <c r="B124" s="23" t="s">
        <v>140</v>
      </c>
      <c r="C124" s="8">
        <v>76.600270143402795</v>
      </c>
      <c r="D124" s="8">
        <v>0.3502115271841012</v>
      </c>
      <c r="E124" s="8">
        <v>12.676545560031997</v>
      </c>
      <c r="F124" s="8">
        <v>1.8343856690310725</v>
      </c>
      <c r="G124" s="8">
        <v>4.9593842975766425E-2</v>
      </c>
      <c r="H124" s="8">
        <v>0.4548081268704306</v>
      </c>
      <c r="I124" s="8">
        <v>2.0335875024450853</v>
      </c>
      <c r="J124" s="8">
        <v>3.5357889641729012</v>
      </c>
      <c r="K124" s="8">
        <v>2.1600894337174728</v>
      </c>
      <c r="L124" s="8">
        <v>6.8147186125985956E-2</v>
      </c>
      <c r="M124" s="8">
        <v>0.30552826010898704</v>
      </c>
      <c r="N124" s="8">
        <v>100</v>
      </c>
      <c r="O124" s="8">
        <v>2.5386490008816582</v>
      </c>
      <c r="P124" s="6"/>
    </row>
    <row r="125" spans="1:30" x14ac:dyDescent="0.2">
      <c r="B125" s="23" t="s">
        <v>141</v>
      </c>
      <c r="C125" s="8">
        <v>76.628676903282539</v>
      </c>
      <c r="D125" s="8">
        <v>0.35602618248482426</v>
      </c>
      <c r="E125" s="8">
        <v>12.563821059983974</v>
      </c>
      <c r="F125" s="8">
        <v>1.9084465511135666</v>
      </c>
      <c r="G125" s="8">
        <v>3.5609178562331381E-2</v>
      </c>
      <c r="H125" s="8">
        <v>0.39984497879970204</v>
      </c>
      <c r="I125" s="8">
        <v>1.9901019575523045</v>
      </c>
      <c r="J125" s="8">
        <v>3.5893834680433785</v>
      </c>
      <c r="K125" s="8">
        <v>2.1638170181746106</v>
      </c>
      <c r="L125" s="8">
        <v>0.10413063166564943</v>
      </c>
      <c r="M125" s="8">
        <v>0.33590036965507047</v>
      </c>
      <c r="N125" s="8">
        <v>100</v>
      </c>
      <c r="O125" s="8">
        <v>2.5049038899547513</v>
      </c>
      <c r="P125" s="6"/>
    </row>
    <row r="126" spans="1:30" x14ac:dyDescent="0.2">
      <c r="B126" s="23" t="s">
        <v>142</v>
      </c>
      <c r="C126" s="8">
        <v>76.674920068802635</v>
      </c>
      <c r="D126" s="8">
        <v>0.35124554705494171</v>
      </c>
      <c r="E126" s="8">
        <v>12.850032830446423</v>
      </c>
      <c r="F126" s="8">
        <v>1.9367425902331066</v>
      </c>
      <c r="G126" s="8">
        <v>8.9035571533105831E-2</v>
      </c>
      <c r="H126" s="8">
        <v>0.40989463246741653</v>
      </c>
      <c r="I126" s="8">
        <v>2.0274735451119983</v>
      </c>
      <c r="J126" s="8">
        <v>3.201697292442657</v>
      </c>
      <c r="K126" s="8">
        <v>2.1860922861020762</v>
      </c>
      <c r="L126" s="8">
        <v>1.617031380416303E-2</v>
      </c>
      <c r="M126" s="8">
        <v>0.33149298553419354</v>
      </c>
      <c r="N126" s="8">
        <v>100</v>
      </c>
      <c r="O126" s="8">
        <v>3.5032567635091278</v>
      </c>
      <c r="P126" s="6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x14ac:dyDescent="0.2">
      <c r="B127" s="23" t="s">
        <v>143</v>
      </c>
      <c r="C127" s="8">
        <v>76.936883342009466</v>
      </c>
      <c r="D127" s="8">
        <v>0.31691825001658214</v>
      </c>
      <c r="E127" s="8">
        <v>12.705718008671566</v>
      </c>
      <c r="F127" s="8">
        <v>1.867390448553359</v>
      </c>
      <c r="G127" s="8">
        <v>7.2212533416611477E-2</v>
      </c>
      <c r="H127" s="8">
        <v>0.41088321021619673</v>
      </c>
      <c r="I127" s="8">
        <v>1.9465156666877044</v>
      </c>
      <c r="J127" s="8">
        <v>3.2988394643518464</v>
      </c>
      <c r="K127" s="8">
        <v>2.1684525073699978</v>
      </c>
      <c r="L127" s="8">
        <v>0</v>
      </c>
      <c r="M127" s="8">
        <v>0.35667708879412585</v>
      </c>
      <c r="N127" s="8">
        <v>100</v>
      </c>
      <c r="O127" s="8">
        <v>3.8252435826597107</v>
      </c>
      <c r="P127" s="6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x14ac:dyDescent="0.2">
      <c r="B128" s="23" t="s">
        <v>144</v>
      </c>
      <c r="C128" s="8">
        <v>77.037436112315788</v>
      </c>
      <c r="D128" s="8">
        <v>0.27718846089002735</v>
      </c>
      <c r="E128" s="8">
        <v>12.724278596227503</v>
      </c>
      <c r="F128" s="8">
        <v>1.8353748834679753</v>
      </c>
      <c r="G128" s="8">
        <v>6.1113829235544433E-2</v>
      </c>
      <c r="H128" s="8">
        <v>0.38612126112352169</v>
      </c>
      <c r="I128" s="8">
        <v>1.8490223354497803</v>
      </c>
      <c r="J128" s="8">
        <v>3.3172952791731323</v>
      </c>
      <c r="K128" s="8">
        <v>2.199469405982565</v>
      </c>
      <c r="L128" s="8">
        <v>6.0844198725265607E-2</v>
      </c>
      <c r="M128" s="8">
        <v>0.32521483997280715</v>
      </c>
      <c r="N128" s="8">
        <v>100</v>
      </c>
      <c r="O128" s="8">
        <v>3.7040424149334497</v>
      </c>
      <c r="P128" s="6"/>
      <c r="Q128" s="2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x14ac:dyDescent="0.2">
      <c r="B129" s="23" t="s">
        <v>145</v>
      </c>
      <c r="C129" s="8">
        <v>78.372669705712227</v>
      </c>
      <c r="D129" s="8">
        <v>0.40891045048784558</v>
      </c>
      <c r="E129" s="8">
        <v>12.133688188938468</v>
      </c>
      <c r="F129" s="8">
        <v>1.6164363919189133</v>
      </c>
      <c r="G129" s="8">
        <v>3.7560025982866702E-2</v>
      </c>
      <c r="H129" s="8">
        <v>0.14763189801522614</v>
      </c>
      <c r="I129" s="8">
        <v>1.2765736186239123</v>
      </c>
      <c r="J129" s="8">
        <v>3.2944959129171392</v>
      </c>
      <c r="K129" s="8">
        <v>2.3889326079197106</v>
      </c>
      <c r="L129" s="8">
        <v>0.1012631036565026</v>
      </c>
      <c r="M129" s="8">
        <v>0.28644365616625667</v>
      </c>
      <c r="N129" s="8">
        <v>100</v>
      </c>
      <c r="O129" s="8">
        <v>3.3771667158415397</v>
      </c>
      <c r="P129" s="6"/>
      <c r="Q129" s="2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x14ac:dyDescent="0.2">
      <c r="B130" s="23" t="s">
        <v>576</v>
      </c>
      <c r="C130" s="8">
        <v>78.701208545955396</v>
      </c>
      <c r="D130" s="8">
        <v>0.61334666882425726</v>
      </c>
      <c r="E130" s="8">
        <v>11.541078476977805</v>
      </c>
      <c r="F130" s="8">
        <v>2.3328518573454522</v>
      </c>
      <c r="G130" s="8">
        <v>7.7850683909912149E-2</v>
      </c>
      <c r="H130" s="8">
        <v>0.22208608727225457</v>
      </c>
      <c r="I130" s="8">
        <v>0.46987992195771666</v>
      </c>
      <c r="J130" s="8">
        <v>2.327988507935018</v>
      </c>
      <c r="K130" s="8">
        <v>3.4375946477860473</v>
      </c>
      <c r="L130" s="8">
        <v>9.6695132504707848E-2</v>
      </c>
      <c r="M130" s="8">
        <v>0.23180660386929666</v>
      </c>
      <c r="N130" s="8">
        <v>100</v>
      </c>
      <c r="O130" s="8">
        <v>3.0370637803908993</v>
      </c>
      <c r="P130" s="6"/>
    </row>
    <row r="131" spans="1:30" x14ac:dyDescent="0.2">
      <c r="B131" s="24" t="s">
        <v>20</v>
      </c>
      <c r="C131" s="18">
        <f t="shared" ref="C131:O131" si="17">AVERAGE(C119:C130)</f>
        <v>76.804313882530977</v>
      </c>
      <c r="D131" s="18">
        <f t="shared" si="17"/>
        <v>0.38161987891498855</v>
      </c>
      <c r="E131" s="18">
        <f t="shared" si="17"/>
        <v>12.621211586170004</v>
      </c>
      <c r="F131" s="18">
        <f t="shared" si="17"/>
        <v>1.9630432126454487</v>
      </c>
      <c r="G131" s="18">
        <f t="shared" si="17"/>
        <v>5.2676379985682441E-2</v>
      </c>
      <c r="H131" s="18">
        <f t="shared" si="17"/>
        <v>0.39576630553361025</v>
      </c>
      <c r="I131" s="18">
        <f t="shared" si="17"/>
        <v>1.8239053385466109</v>
      </c>
      <c r="J131" s="18">
        <f t="shared" si="17"/>
        <v>3.3963985761626456</v>
      </c>
      <c r="K131" s="18">
        <f t="shared" si="17"/>
        <v>2.2663804793317395</v>
      </c>
      <c r="L131" s="18">
        <f t="shared" si="17"/>
        <v>4.5279312182285814E-2</v>
      </c>
      <c r="M131" s="18">
        <f t="shared" si="17"/>
        <v>0.32207529985347777</v>
      </c>
      <c r="N131" s="18">
        <f t="shared" si="17"/>
        <v>100</v>
      </c>
      <c r="O131" s="18">
        <f t="shared" si="17"/>
        <v>2.9117607802896757</v>
      </c>
      <c r="P131" s="6"/>
    </row>
    <row r="132" spans="1:30" x14ac:dyDescent="0.2">
      <c r="B132" s="24" t="s">
        <v>21</v>
      </c>
      <c r="C132" s="18">
        <f t="shared" ref="C132:O132" si="18">STDEV(C119:C130)</f>
        <v>0.88739178841390109</v>
      </c>
      <c r="D132" s="18">
        <f t="shared" si="18"/>
        <v>8.1848885493381776E-2</v>
      </c>
      <c r="E132" s="18">
        <f t="shared" si="18"/>
        <v>0.40916450715415154</v>
      </c>
      <c r="F132" s="18">
        <f t="shared" si="18"/>
        <v>0.19153930176054509</v>
      </c>
      <c r="G132" s="18">
        <f t="shared" si="18"/>
        <v>2.5330813559844581E-2</v>
      </c>
      <c r="H132" s="18">
        <f t="shared" si="18"/>
        <v>0.1059266294872892</v>
      </c>
      <c r="I132" s="18">
        <f t="shared" si="18"/>
        <v>0.4821182335332157</v>
      </c>
      <c r="J132" s="18">
        <f t="shared" si="18"/>
        <v>0.4154897922690135</v>
      </c>
      <c r="K132" s="18">
        <f t="shared" si="18"/>
        <v>0.37992334378998116</v>
      </c>
      <c r="L132" s="18">
        <f t="shared" si="18"/>
        <v>4.0397955406646625E-2</v>
      </c>
      <c r="M132" s="18">
        <f t="shared" si="18"/>
        <v>4.4098625594426247E-2</v>
      </c>
      <c r="N132" s="18">
        <f t="shared" si="18"/>
        <v>0</v>
      </c>
      <c r="O132" s="18">
        <f t="shared" si="18"/>
        <v>0.58968018753280027</v>
      </c>
      <c r="P132" s="6"/>
    </row>
    <row r="133" spans="1:30" x14ac:dyDescent="0.2">
      <c r="B133" s="23" t="s">
        <v>133</v>
      </c>
      <c r="C133" s="8">
        <v>70.972799692477921</v>
      </c>
      <c r="D133" s="8">
        <v>0.31577598457808315</v>
      </c>
      <c r="E133" s="8">
        <v>16.789514382327823</v>
      </c>
      <c r="F133" s="8">
        <v>1.3913201827698445</v>
      </c>
      <c r="G133" s="8">
        <v>5.4175834607411155E-2</v>
      </c>
      <c r="H133" s="8">
        <v>0.19749305327496944</v>
      </c>
      <c r="I133" s="8">
        <v>3.7507333125374376</v>
      </c>
      <c r="J133" s="8">
        <v>4.7791583690616397</v>
      </c>
      <c r="K133" s="8">
        <v>1.5190605798906183</v>
      </c>
      <c r="L133" s="8">
        <v>1.9943541287794585E-2</v>
      </c>
      <c r="M133" s="8">
        <v>0.2713252799152473</v>
      </c>
      <c r="N133" s="8">
        <v>100</v>
      </c>
      <c r="O133" s="8">
        <v>2.5533053313857601</v>
      </c>
      <c r="P133" s="6" t="s">
        <v>581</v>
      </c>
    </row>
    <row r="134" spans="1:30" x14ac:dyDescent="0.2">
      <c r="B134" s="23" t="s">
        <v>134</v>
      </c>
      <c r="C134" s="8">
        <v>72.41548619652994</v>
      </c>
      <c r="D134" s="8">
        <v>0.33142866394290715</v>
      </c>
      <c r="E134" s="8">
        <v>15.404632766579592</v>
      </c>
      <c r="F134" s="8">
        <v>1.5967605014692849</v>
      </c>
      <c r="G134" s="8">
        <v>5.2660125092703861E-2</v>
      </c>
      <c r="H134" s="8">
        <v>0.31072115616990897</v>
      </c>
      <c r="I134" s="8">
        <v>3.5318470496812062</v>
      </c>
      <c r="J134" s="8">
        <v>3.9254668421461338</v>
      </c>
      <c r="K134" s="8">
        <v>2.2560360233822001</v>
      </c>
      <c r="L134" s="8">
        <v>0</v>
      </c>
      <c r="M134" s="8">
        <v>0.22597734710097253</v>
      </c>
      <c r="N134" s="8">
        <v>100</v>
      </c>
      <c r="O134" s="8">
        <v>2.3958254116509625</v>
      </c>
      <c r="P134" s="6" t="s">
        <v>581</v>
      </c>
    </row>
    <row r="135" spans="1:30" ht="17" customHeight="1" x14ac:dyDescent="0.2">
      <c r="B135" s="23" t="s">
        <v>574</v>
      </c>
      <c r="C135" s="8">
        <v>77.195593410875304</v>
      </c>
      <c r="D135" s="8">
        <v>0.30796361983999304</v>
      </c>
      <c r="E135" s="8">
        <v>12.904192152250374</v>
      </c>
      <c r="F135" s="8">
        <v>1.3030220924707747</v>
      </c>
      <c r="G135" s="8">
        <v>1.0918028161781505E-2</v>
      </c>
      <c r="H135" s="8">
        <v>0.15309249814051398</v>
      </c>
      <c r="I135" s="8">
        <v>1.3233124156897913</v>
      </c>
      <c r="J135" s="8">
        <v>3.4314141383326677</v>
      </c>
      <c r="K135" s="8">
        <v>3.3050762192543846</v>
      </c>
      <c r="L135" s="8">
        <v>8.0615133845792081E-3</v>
      </c>
      <c r="M135" s="8">
        <v>7.4025158376741326E-2</v>
      </c>
      <c r="N135" s="8">
        <v>100</v>
      </c>
      <c r="O135" s="8">
        <v>3.0488736364464821</v>
      </c>
      <c r="P135" s="6" t="s">
        <v>581</v>
      </c>
    </row>
    <row r="136" spans="1:30" x14ac:dyDescent="0.2">
      <c r="B136" s="23" t="s">
        <v>575</v>
      </c>
      <c r="C136" s="8">
        <v>77.887529913328123</v>
      </c>
      <c r="D136" s="8">
        <v>0.32698944670204572</v>
      </c>
      <c r="E136" s="8">
        <v>12.34634924728083</v>
      </c>
      <c r="F136" s="8">
        <v>1.2131685784572306</v>
      </c>
      <c r="G136" s="8">
        <v>1.690690651393886E-2</v>
      </c>
      <c r="H136" s="8">
        <v>6.8606970958978428E-2</v>
      </c>
      <c r="I136" s="8">
        <v>2.1986191485561268</v>
      </c>
      <c r="J136" s="8">
        <v>4.5668051620468493</v>
      </c>
      <c r="K136" s="8">
        <v>1.3060742749299925</v>
      </c>
      <c r="L136" s="8">
        <v>0</v>
      </c>
      <c r="M136" s="8">
        <v>8.8972062172679819E-2</v>
      </c>
      <c r="N136" s="8">
        <v>100</v>
      </c>
      <c r="O136" s="8">
        <v>1.5917949401445741</v>
      </c>
      <c r="P136" s="6" t="s">
        <v>581</v>
      </c>
    </row>
    <row r="137" spans="1:30" x14ac:dyDescent="0.2">
      <c r="B137" s="2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6"/>
    </row>
    <row r="138" spans="1:30" x14ac:dyDescent="0.2">
      <c r="A138" s="1" t="s">
        <v>76</v>
      </c>
      <c r="B138" s="23" t="s">
        <v>35</v>
      </c>
      <c r="C138" s="8">
        <v>74.599400000000003</v>
      </c>
      <c r="D138" s="8">
        <v>6.8741999999999998E-2</v>
      </c>
      <c r="E138" s="8">
        <v>13.1919</v>
      </c>
      <c r="F138" s="8">
        <v>1.6111899999999999</v>
      </c>
      <c r="G138" s="8">
        <v>9.8288E-2</v>
      </c>
      <c r="H138" s="8">
        <v>4.727E-2</v>
      </c>
      <c r="I138" s="8">
        <v>0.70418800000000004</v>
      </c>
      <c r="J138" s="8">
        <v>3.9398399999999998</v>
      </c>
      <c r="K138" s="8">
        <v>5.0853999999999999</v>
      </c>
      <c r="L138" s="8">
        <v>0</v>
      </c>
      <c r="M138" s="8">
        <v>0.33374199999999998</v>
      </c>
      <c r="N138" s="8">
        <v>99.604699999999994</v>
      </c>
      <c r="O138" s="8">
        <f t="shared" ref="O138:O141" si="19">100-N138</f>
        <v>0.39530000000000598</v>
      </c>
    </row>
    <row r="139" spans="1:30" x14ac:dyDescent="0.2">
      <c r="B139" s="23" t="s">
        <v>36</v>
      </c>
      <c r="C139" s="8">
        <v>74.357799999999997</v>
      </c>
      <c r="D139" s="8">
        <v>9.2946000000000001E-2</v>
      </c>
      <c r="E139" s="8">
        <v>13.0541</v>
      </c>
      <c r="F139" s="8">
        <v>1.6383000000000001</v>
      </c>
      <c r="G139" s="8">
        <v>4.5370000000000001E-2</v>
      </c>
      <c r="H139" s="8">
        <v>5.6406999999999999E-2</v>
      </c>
      <c r="I139" s="8">
        <v>0.74026499999999995</v>
      </c>
      <c r="J139" s="8">
        <v>3.8796499999999998</v>
      </c>
      <c r="K139" s="8">
        <v>5.0347400000000002</v>
      </c>
      <c r="L139" s="8">
        <v>9.7216999999999998E-2</v>
      </c>
      <c r="M139" s="8">
        <v>0.34809099999999998</v>
      </c>
      <c r="N139" s="8">
        <v>99.266400000000004</v>
      </c>
      <c r="O139" s="8">
        <f t="shared" si="19"/>
        <v>0.73359999999999559</v>
      </c>
    </row>
    <row r="140" spans="1:30" x14ac:dyDescent="0.2">
      <c r="B140" s="23" t="s">
        <v>37</v>
      </c>
      <c r="C140" s="8">
        <v>74.210499999999996</v>
      </c>
      <c r="D140" s="8">
        <v>8.2375000000000004E-2</v>
      </c>
      <c r="E140" s="8">
        <v>12.9262</v>
      </c>
      <c r="F140" s="8">
        <v>1.5962799999999999</v>
      </c>
      <c r="G140" s="8">
        <v>6.1996000000000002E-2</v>
      </c>
      <c r="H140" s="8">
        <v>5.6444000000000001E-2</v>
      </c>
      <c r="I140" s="8">
        <v>0.71716299999999999</v>
      </c>
      <c r="J140" s="8">
        <v>3.6751900000000002</v>
      </c>
      <c r="K140" s="8">
        <v>5.1139900000000003</v>
      </c>
      <c r="L140" s="8">
        <v>0</v>
      </c>
      <c r="M140" s="8">
        <v>0.35393599999999997</v>
      </c>
      <c r="N140" s="8">
        <v>98.714299999999994</v>
      </c>
      <c r="O140" s="8">
        <f t="shared" si="19"/>
        <v>1.2857000000000056</v>
      </c>
    </row>
    <row r="141" spans="1:30" x14ac:dyDescent="0.2">
      <c r="B141" s="23" t="s">
        <v>38</v>
      </c>
      <c r="C141" s="8">
        <v>74.448499999999996</v>
      </c>
      <c r="D141" s="8">
        <v>9.5948000000000006E-2</v>
      </c>
      <c r="E141" s="8">
        <v>12.9796</v>
      </c>
      <c r="F141" s="8">
        <v>1.6271899999999999</v>
      </c>
      <c r="G141" s="8">
        <v>7.7115000000000003E-2</v>
      </c>
      <c r="H141" s="8">
        <v>4.1161999999999997E-2</v>
      </c>
      <c r="I141" s="8">
        <v>0.70959000000000005</v>
      </c>
      <c r="J141" s="8">
        <v>4.2359799999999996</v>
      </c>
      <c r="K141" s="8">
        <v>5.0116199999999997</v>
      </c>
      <c r="L141" s="8">
        <v>8.9413999999999993E-2</v>
      </c>
      <c r="M141" s="8">
        <v>0.362315</v>
      </c>
      <c r="N141" s="8">
        <v>99.596699999999998</v>
      </c>
      <c r="O141" s="8">
        <f t="shared" si="19"/>
        <v>0.40330000000000155</v>
      </c>
    </row>
    <row r="142" spans="1:30" x14ac:dyDescent="0.2">
      <c r="B142" s="24" t="s">
        <v>20</v>
      </c>
      <c r="C142" s="18">
        <f>AVERAGE(C138:C141)</f>
        <v>74.404049999999998</v>
      </c>
      <c r="D142" s="18">
        <f>AVERAGE(D138:D141)</f>
        <v>8.5002750000000002E-2</v>
      </c>
      <c r="E142" s="18">
        <f t="shared" ref="E142:H142" si="20">AVERAGE(E138:E141)</f>
        <v>13.03795</v>
      </c>
      <c r="F142" s="18">
        <f t="shared" si="20"/>
        <v>1.6182399999999999</v>
      </c>
      <c r="G142" s="18">
        <f t="shared" si="20"/>
        <v>7.0692249999999998E-2</v>
      </c>
      <c r="H142" s="18">
        <f t="shared" si="20"/>
        <v>5.0320749999999997E-2</v>
      </c>
      <c r="I142" s="18">
        <f>AVERAGE(I138:I141)</f>
        <v>0.71780149999999998</v>
      </c>
      <c r="J142" s="18">
        <f t="shared" ref="J142:O142" si="21">AVERAGE(J138:J141)</f>
        <v>3.9326650000000001</v>
      </c>
      <c r="K142" s="18">
        <f t="shared" si="21"/>
        <v>5.0614375000000003</v>
      </c>
      <c r="L142" s="18">
        <f t="shared" si="21"/>
        <v>4.6657749999999998E-2</v>
      </c>
      <c r="M142" s="18">
        <f t="shared" si="21"/>
        <v>0.34952099999999997</v>
      </c>
      <c r="N142" s="18">
        <f t="shared" si="21"/>
        <v>99.295524999999998</v>
      </c>
      <c r="O142" s="18">
        <f t="shared" si="21"/>
        <v>0.70447500000000218</v>
      </c>
    </row>
    <row r="143" spans="1:30" x14ac:dyDescent="0.2">
      <c r="B143" s="24" t="s">
        <v>21</v>
      </c>
      <c r="C143" s="18">
        <f>STDEV(C138:C141)</f>
        <v>0.16303178626677114</v>
      </c>
      <c r="D143" s="18">
        <f t="shared" ref="D143:F143" si="22">STDEV(D138:D141)</f>
        <v>1.2304616731807057E-2</v>
      </c>
      <c r="E143" s="18">
        <f t="shared" si="22"/>
        <v>0.11525943200739257</v>
      </c>
      <c r="F143" s="18">
        <f t="shared" si="22"/>
        <v>1.8388857133238838E-2</v>
      </c>
      <c r="G143" s="18">
        <f>STDEV(G138:G141)</f>
        <v>2.2506430523667392E-2</v>
      </c>
      <c r="H143" s="18">
        <f t="shared" ref="H143:I143" si="23">STDEV(H138:H141)</f>
        <v>7.4772188847191424E-3</v>
      </c>
      <c r="I143" s="18">
        <f t="shared" si="23"/>
        <v>1.5893107824882204E-2</v>
      </c>
      <c r="J143" s="18">
        <f>STDEV(J138:J141)</f>
        <v>0.23177247154627006</v>
      </c>
      <c r="K143" s="18">
        <f t="shared" ref="K143:O143" si="24">STDEV(K138:K141)</f>
        <v>4.6656569651729429E-2</v>
      </c>
      <c r="L143" s="18">
        <f t="shared" si="24"/>
        <v>5.3969824731819653E-2</v>
      </c>
      <c r="M143" s="18">
        <f t="shared" si="24"/>
        <v>1.2030522321717101E-2</v>
      </c>
      <c r="N143" s="18">
        <f t="shared" si="24"/>
        <v>0.41831659760680534</v>
      </c>
      <c r="O143" s="18">
        <f t="shared" si="24"/>
        <v>0.4183165976068054</v>
      </c>
    </row>
    <row r="144" spans="1:30" x14ac:dyDescent="0.2">
      <c r="B144" s="23"/>
    </row>
    <row r="145" spans="1:16" x14ac:dyDescent="0.2">
      <c r="A145" s="1" t="s">
        <v>76</v>
      </c>
      <c r="B145" s="23" t="s">
        <v>40</v>
      </c>
      <c r="C145" s="8">
        <v>76.262299025762275</v>
      </c>
      <c r="D145" s="8">
        <v>0.34707885831162416</v>
      </c>
      <c r="E145" s="8">
        <v>13.22763124910494</v>
      </c>
      <c r="F145" s="8">
        <v>1.7946892011885016</v>
      </c>
      <c r="G145" s="8">
        <v>3.4764486466984303E-2</v>
      </c>
      <c r="H145" s="8">
        <v>0.30082402505592776</v>
      </c>
      <c r="I145" s="8">
        <v>1.4850043570375795</v>
      </c>
      <c r="J145" s="8">
        <v>2.4862612503893331</v>
      </c>
      <c r="K145" s="8">
        <v>3.7401637493571132</v>
      </c>
      <c r="L145" s="8">
        <v>0.10587242916779221</v>
      </c>
      <c r="M145" s="8">
        <v>0.27826418122455904</v>
      </c>
      <c r="N145" s="8">
        <v>100</v>
      </c>
      <c r="O145" s="8">
        <v>4.4292173835515332</v>
      </c>
      <c r="P145" s="6"/>
    </row>
    <row r="146" spans="1:16" x14ac:dyDescent="0.2">
      <c r="B146" s="23" t="s">
        <v>41</v>
      </c>
      <c r="C146" s="8">
        <v>76.121030855369838</v>
      </c>
      <c r="D146" s="8">
        <v>0.30112239141469344</v>
      </c>
      <c r="E146" s="8">
        <v>12.777431289892411</v>
      </c>
      <c r="F146" s="8">
        <v>1.7051948604868381</v>
      </c>
      <c r="G146" s="8">
        <v>5.9215324500739901E-2</v>
      </c>
      <c r="H146" s="8">
        <v>0.25694917045993543</v>
      </c>
      <c r="I146" s="8">
        <v>1.4947640828214246</v>
      </c>
      <c r="J146" s="8">
        <v>3.4002452924922442</v>
      </c>
      <c r="K146" s="8">
        <v>3.643087466265174</v>
      </c>
      <c r="L146" s="8">
        <v>2.474436611445913E-2</v>
      </c>
      <c r="M146" s="8">
        <v>0.27927749125097528</v>
      </c>
      <c r="N146" s="8">
        <v>100</v>
      </c>
      <c r="O146" s="8">
        <v>5.7813188887616711</v>
      </c>
      <c r="P146" s="6"/>
    </row>
    <row r="147" spans="1:16" x14ac:dyDescent="0.2">
      <c r="B147" s="23" t="s">
        <v>42</v>
      </c>
      <c r="C147" s="8">
        <v>75.648766447370122</v>
      </c>
      <c r="D147" s="8">
        <v>0.31450689767689149</v>
      </c>
      <c r="E147" s="8">
        <v>13.227709946506009</v>
      </c>
      <c r="F147" s="8">
        <v>1.8444722122853012</v>
      </c>
      <c r="G147" s="8">
        <v>0.11046386905635755</v>
      </c>
      <c r="H147" s="8">
        <v>0.31604448923995487</v>
      </c>
      <c r="I147" s="8">
        <v>1.5208991810777051</v>
      </c>
      <c r="J147" s="8">
        <v>3.2242420861499288</v>
      </c>
      <c r="K147" s="8">
        <v>3.6253940682617842</v>
      </c>
      <c r="L147" s="8">
        <v>0</v>
      </c>
      <c r="M147" s="8">
        <v>0.21621211448954089</v>
      </c>
      <c r="N147" s="8">
        <v>100</v>
      </c>
      <c r="O147" s="8">
        <v>2.8489339841696233</v>
      </c>
      <c r="P147" s="6"/>
    </row>
    <row r="148" spans="1:16" x14ac:dyDescent="0.2">
      <c r="B148" s="23" t="s">
        <v>43</v>
      </c>
      <c r="C148" s="8">
        <v>76.132998115001129</v>
      </c>
      <c r="D148" s="8">
        <v>0.39061235841786862</v>
      </c>
      <c r="E148" s="8">
        <v>13.117648309599595</v>
      </c>
      <c r="F148" s="8">
        <v>1.7829718219099171</v>
      </c>
      <c r="G148" s="8">
        <v>4.6179905719134794E-2</v>
      </c>
      <c r="H148" s="8">
        <v>0.28778174822141495</v>
      </c>
      <c r="I148" s="8">
        <v>1.4734781621328386</v>
      </c>
      <c r="J148" s="8">
        <v>2.8612536256861278</v>
      </c>
      <c r="K148" s="8">
        <v>3.6660002816015567</v>
      </c>
      <c r="L148" s="8">
        <v>1.2309239504972763E-2</v>
      </c>
      <c r="M148" s="8">
        <v>0.29546910349061445</v>
      </c>
      <c r="N148" s="8">
        <v>100</v>
      </c>
      <c r="O148" s="8">
        <v>5.2341583737091684</v>
      </c>
      <c r="P148" s="6"/>
    </row>
    <row r="149" spans="1:16" x14ac:dyDescent="0.2">
      <c r="B149" s="24" t="s">
        <v>20</v>
      </c>
      <c r="C149" s="18">
        <f>AVERAGE(C145:C148)</f>
        <v>76.041273610875834</v>
      </c>
      <c r="D149" s="18">
        <f t="shared" ref="D149:O149" si="25">AVERAGE(D145:D148)</f>
        <v>0.33833012645526944</v>
      </c>
      <c r="E149" s="18">
        <f t="shared" si="25"/>
        <v>13.087605198775739</v>
      </c>
      <c r="F149" s="18">
        <f t="shared" si="25"/>
        <v>1.7818320239676395</v>
      </c>
      <c r="G149" s="18">
        <f t="shared" si="25"/>
        <v>6.2655896435804131E-2</v>
      </c>
      <c r="H149" s="18">
        <f t="shared" si="25"/>
        <v>0.29039985824430825</v>
      </c>
      <c r="I149" s="18">
        <f t="shared" si="25"/>
        <v>1.493536445767387</v>
      </c>
      <c r="J149" s="18">
        <f t="shared" si="25"/>
        <v>2.9930005636794084</v>
      </c>
      <c r="K149" s="18">
        <f t="shared" si="25"/>
        <v>3.668661391371407</v>
      </c>
      <c r="L149" s="18">
        <f t="shared" si="25"/>
        <v>3.5731508696806025E-2</v>
      </c>
      <c r="M149" s="18">
        <f t="shared" si="25"/>
        <v>0.26730572261392244</v>
      </c>
      <c r="N149" s="18">
        <f t="shared" si="25"/>
        <v>100</v>
      </c>
      <c r="O149" s="18">
        <f t="shared" si="25"/>
        <v>4.5734071575479991</v>
      </c>
      <c r="P149" s="6"/>
    </row>
    <row r="150" spans="1:16" x14ac:dyDescent="0.2">
      <c r="B150" s="24" t="s">
        <v>21</v>
      </c>
      <c r="C150" s="18">
        <f>STDEV(C145:C148)</f>
        <v>0.26937502367228416</v>
      </c>
      <c r="D150" s="18">
        <f t="shared" ref="D150:O150" si="26">STDEV(D145:D148)</f>
        <v>3.9841075388607095E-2</v>
      </c>
      <c r="E150" s="18">
        <f t="shared" si="26"/>
        <v>0.21318777119970728</v>
      </c>
      <c r="F150" s="18">
        <f t="shared" si="26"/>
        <v>5.763001001877719E-2</v>
      </c>
      <c r="G150" s="18">
        <f t="shared" si="26"/>
        <v>3.3400742514064427E-2</v>
      </c>
      <c r="H150" s="18">
        <f t="shared" si="26"/>
        <v>2.5113829961191457E-2</v>
      </c>
      <c r="I150" s="18">
        <f t="shared" si="26"/>
        <v>2.0210209110383421E-2</v>
      </c>
      <c r="J150" s="18">
        <f t="shared" si="26"/>
        <v>0.40557074934164483</v>
      </c>
      <c r="K150" s="18">
        <f t="shared" si="26"/>
        <v>5.0483514131298285E-2</v>
      </c>
      <c r="L150" s="18">
        <f t="shared" si="26"/>
        <v>4.7839347245012508E-2</v>
      </c>
      <c r="M150" s="18">
        <f t="shared" si="26"/>
        <v>3.4962569856889093E-2</v>
      </c>
      <c r="N150" s="18">
        <f t="shared" si="26"/>
        <v>0</v>
      </c>
      <c r="O150" s="18">
        <f t="shared" si="26"/>
        <v>1.2767460380055902</v>
      </c>
      <c r="P150" s="6"/>
    </row>
    <row r="151" spans="1:16" x14ac:dyDescent="0.2">
      <c r="B151" s="2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6"/>
    </row>
    <row r="152" spans="1:16" x14ac:dyDescent="0.2">
      <c r="A152" s="1" t="s">
        <v>76</v>
      </c>
      <c r="B152" s="40" t="s">
        <v>147</v>
      </c>
      <c r="C152" s="39">
        <v>75.617237589335588</v>
      </c>
      <c r="D152" s="39">
        <v>0.50112387217910936</v>
      </c>
      <c r="E152" s="39">
        <v>12.751444949384741</v>
      </c>
      <c r="F152" s="39">
        <v>2.4078717620995094</v>
      </c>
      <c r="G152" s="39">
        <v>6.4825201168928023E-2</v>
      </c>
      <c r="H152" s="39">
        <v>0.52843595589835002</v>
      </c>
      <c r="I152" s="39">
        <v>2.1583105764483137</v>
      </c>
      <c r="J152" s="39">
        <v>3.5301178872649088</v>
      </c>
      <c r="K152" s="39">
        <v>2.1513638914716147</v>
      </c>
      <c r="L152" s="39">
        <v>4.3747818145050653E-2</v>
      </c>
      <c r="M152" s="39">
        <v>0.31713144781898089</v>
      </c>
      <c r="N152" s="39">
        <v>100</v>
      </c>
      <c r="O152" s="39">
        <v>1.8575509779991874</v>
      </c>
      <c r="P152" s="1" t="s">
        <v>81</v>
      </c>
    </row>
    <row r="153" spans="1:16" x14ac:dyDescent="0.2">
      <c r="B153" s="40" t="s">
        <v>148</v>
      </c>
      <c r="C153" s="39">
        <v>75.790292477215232</v>
      </c>
      <c r="D153" s="39">
        <v>0.44010490882472869</v>
      </c>
      <c r="E153" s="39">
        <v>12.698075528756425</v>
      </c>
      <c r="F153" s="39">
        <v>2.3807926284662564</v>
      </c>
      <c r="G153" s="39">
        <v>2.3095816290540059E-2</v>
      </c>
      <c r="H153" s="39">
        <v>0.54101459373672034</v>
      </c>
      <c r="I153" s="39">
        <v>1.9362522742586159</v>
      </c>
      <c r="J153" s="39">
        <v>3.6425930084627822</v>
      </c>
      <c r="K153" s="39">
        <v>2.2951931052001608</v>
      </c>
      <c r="L153" s="39">
        <v>0</v>
      </c>
      <c r="M153" s="39">
        <v>0.32624250402820543</v>
      </c>
      <c r="N153" s="39">
        <v>100</v>
      </c>
      <c r="O153" s="39">
        <v>1.6138690243304104</v>
      </c>
      <c r="P153" s="6"/>
    </row>
    <row r="154" spans="1:16" x14ac:dyDescent="0.2">
      <c r="B154" s="40" t="s">
        <v>149</v>
      </c>
      <c r="C154" s="39">
        <v>76.093800119721109</v>
      </c>
      <c r="D154" s="39">
        <v>0.32918320837182702</v>
      </c>
      <c r="E154" s="39">
        <v>12.747126317497159</v>
      </c>
      <c r="F154" s="39">
        <v>2.0344237928247537</v>
      </c>
      <c r="G154" s="39">
        <v>0.10888478197580116</v>
      </c>
      <c r="H154" s="39">
        <v>0.38229134360423639</v>
      </c>
      <c r="I154" s="39">
        <v>2.0906780798537672</v>
      </c>
      <c r="J154" s="39">
        <v>3.7508423743009298</v>
      </c>
      <c r="K154" s="39">
        <v>2.2600481107954091</v>
      </c>
      <c r="L154" s="39">
        <v>0</v>
      </c>
      <c r="M154" s="39">
        <v>0.26189765703442619</v>
      </c>
      <c r="N154" s="39">
        <v>100</v>
      </c>
      <c r="O154" s="39">
        <v>1.1949757672479833</v>
      </c>
      <c r="P154" s="6"/>
    </row>
    <row r="155" spans="1:16" x14ac:dyDescent="0.2">
      <c r="B155" s="40" t="s">
        <v>150</v>
      </c>
      <c r="C155" s="39">
        <v>76.22815846386662</v>
      </c>
      <c r="D155" s="39">
        <v>0.32396717560722033</v>
      </c>
      <c r="E155" s="39">
        <v>11.987306764864831</v>
      </c>
      <c r="F155" s="39">
        <v>2.5404872955267903</v>
      </c>
      <c r="G155" s="39">
        <v>0.10859054717667724</v>
      </c>
      <c r="H155" s="39">
        <v>0.89389165894184586</v>
      </c>
      <c r="I155" s="39">
        <v>2.8422898536723724</v>
      </c>
      <c r="J155" s="39">
        <v>3.1152332462647054</v>
      </c>
      <c r="K155" s="39">
        <v>1.6507893300888679</v>
      </c>
      <c r="L155" s="39">
        <v>8.7993828311987918E-2</v>
      </c>
      <c r="M155" s="39">
        <v>0.28577025733876454</v>
      </c>
      <c r="N155" s="39">
        <v>100</v>
      </c>
      <c r="O155" s="39">
        <v>2.4100977759015816</v>
      </c>
      <c r="P155" s="6"/>
    </row>
    <row r="156" spans="1:16" x14ac:dyDescent="0.2">
      <c r="B156" s="40" t="s">
        <v>151</v>
      </c>
      <c r="C156" s="39">
        <v>76.450660831084477</v>
      </c>
      <c r="D156" s="39">
        <v>0.35814363577972563</v>
      </c>
      <c r="E156" s="39">
        <v>12.915685569328444</v>
      </c>
      <c r="F156" s="39">
        <v>1.8356562601364783</v>
      </c>
      <c r="G156" s="39">
        <v>7.6174739966139077E-2</v>
      </c>
      <c r="H156" s="39">
        <v>0.4272363843970719</v>
      </c>
      <c r="I156" s="39">
        <v>1.9337169687328695</v>
      </c>
      <c r="J156" s="39">
        <v>3.6079694665870132</v>
      </c>
      <c r="K156" s="39">
        <v>2.1410075221730596</v>
      </c>
      <c r="L156" s="39">
        <v>8.023521842375975E-3</v>
      </c>
      <c r="M156" s="39">
        <v>0.31727628932295543</v>
      </c>
      <c r="N156" s="39">
        <v>100</v>
      </c>
      <c r="O156" s="39">
        <v>2.5632345951166378</v>
      </c>
      <c r="P156" s="6"/>
    </row>
    <row r="157" spans="1:16" x14ac:dyDescent="0.2">
      <c r="B157" s="40" t="s">
        <v>152</v>
      </c>
      <c r="C157" s="39">
        <v>77.416789519219918</v>
      </c>
      <c r="D157" s="39">
        <v>0.42819833303367794</v>
      </c>
      <c r="E157" s="39">
        <v>11.697676618324531</v>
      </c>
      <c r="F157" s="39">
        <v>2.1257678212863498</v>
      </c>
      <c r="G157" s="39">
        <v>4.0263719764288032E-2</v>
      </c>
      <c r="H157" s="39">
        <v>0.39553171508712748</v>
      </c>
      <c r="I157" s="39">
        <v>1.5539359196332081</v>
      </c>
      <c r="J157" s="39">
        <v>3.6655070848926004</v>
      </c>
      <c r="K157" s="39">
        <v>2.4211686510135806</v>
      </c>
      <c r="L157" s="39">
        <v>5.5962829668828422E-2</v>
      </c>
      <c r="M157" s="39">
        <v>0.25727836225786532</v>
      </c>
      <c r="N157" s="39">
        <v>100</v>
      </c>
      <c r="O157" s="39">
        <v>2.2077467743515076</v>
      </c>
      <c r="P157" s="6"/>
    </row>
    <row r="158" spans="1:16" x14ac:dyDescent="0.2">
      <c r="B158" s="40" t="s">
        <v>153</v>
      </c>
      <c r="C158" s="39">
        <v>77.741718060329262</v>
      </c>
      <c r="D158" s="39">
        <v>0.46663170841164181</v>
      </c>
      <c r="E158" s="39">
        <v>12.309407892320786</v>
      </c>
      <c r="F158" s="39">
        <v>1.7693659111869333</v>
      </c>
      <c r="G158" s="39">
        <v>3.7075903550083673E-2</v>
      </c>
      <c r="H158" s="39">
        <v>0.26739025860930515</v>
      </c>
      <c r="I158" s="39">
        <v>1.6679977939982116</v>
      </c>
      <c r="J158" s="39">
        <v>3.2434230353697227</v>
      </c>
      <c r="K158" s="39">
        <v>2.3239553035883302</v>
      </c>
      <c r="L158" s="39">
        <v>3.1934116387233265E-2</v>
      </c>
      <c r="M158" s="39">
        <v>0.18218335431281699</v>
      </c>
      <c r="N158" s="39">
        <v>100</v>
      </c>
      <c r="O158" s="39">
        <v>1.9184769643291859</v>
      </c>
      <c r="P158" s="6"/>
    </row>
    <row r="159" spans="1:16" x14ac:dyDescent="0.2">
      <c r="B159" s="40" t="s">
        <v>154</v>
      </c>
      <c r="C159" s="39">
        <v>79.023681453798687</v>
      </c>
      <c r="D159" s="39">
        <v>0.29452261411809122</v>
      </c>
      <c r="E159" s="39">
        <v>11.423625238194269</v>
      </c>
      <c r="F159" s="39">
        <v>1.7823745537203566</v>
      </c>
      <c r="G159" s="39">
        <v>6.055122129507564E-2</v>
      </c>
      <c r="H159" s="39">
        <v>0.3317068873085583</v>
      </c>
      <c r="I159" s="39">
        <v>1.3340509164259959</v>
      </c>
      <c r="J159" s="39">
        <v>3.0235082829346576</v>
      </c>
      <c r="K159" s="39">
        <v>2.352087193935513</v>
      </c>
      <c r="L159" s="39">
        <v>0.14051076441284738</v>
      </c>
      <c r="M159" s="39">
        <v>0.30131921110314314</v>
      </c>
      <c r="N159" s="39">
        <v>100</v>
      </c>
      <c r="O159" s="39">
        <v>2.3429752304160258</v>
      </c>
      <c r="P159" s="6"/>
    </row>
    <row r="160" spans="1:16" x14ac:dyDescent="0.2">
      <c r="B160" s="24" t="s">
        <v>20</v>
      </c>
      <c r="C160" s="18">
        <f t="shared" ref="C160:O160" si="27">AVERAGE(C152:C159)</f>
        <v>76.795292314321358</v>
      </c>
      <c r="D160" s="18">
        <f t="shared" si="27"/>
        <v>0.39273443204075276</v>
      </c>
      <c r="E160" s="18">
        <f t="shared" si="27"/>
        <v>12.316293609833899</v>
      </c>
      <c r="F160" s="18">
        <f t="shared" si="27"/>
        <v>2.1095925031559282</v>
      </c>
      <c r="G160" s="18">
        <f t="shared" si="27"/>
        <v>6.4932741398441615E-2</v>
      </c>
      <c r="H160" s="18">
        <f t="shared" si="27"/>
        <v>0.47093734969790196</v>
      </c>
      <c r="I160" s="18">
        <f t="shared" si="27"/>
        <v>1.9396540478779192</v>
      </c>
      <c r="J160" s="18">
        <f t="shared" si="27"/>
        <v>3.4473992982596653</v>
      </c>
      <c r="K160" s="18">
        <f t="shared" si="27"/>
        <v>2.1994516385333172</v>
      </c>
      <c r="L160" s="18">
        <f t="shared" si="27"/>
        <v>4.6021609846040451E-2</v>
      </c>
      <c r="M160" s="18">
        <f t="shared" si="27"/>
        <v>0.28113738540214478</v>
      </c>
      <c r="N160" s="18">
        <f t="shared" si="27"/>
        <v>100</v>
      </c>
      <c r="O160" s="18">
        <f t="shared" si="27"/>
        <v>2.0136158887115649</v>
      </c>
      <c r="P160" s="6"/>
    </row>
    <row r="161" spans="1:16" x14ac:dyDescent="0.2">
      <c r="B161" s="24" t="s">
        <v>21</v>
      </c>
      <c r="C161" s="18">
        <f t="shared" ref="C161:O161" si="28">STDEV(C152:C159)</f>
        <v>1.1697398487113788</v>
      </c>
      <c r="D161" s="18">
        <f t="shared" si="28"/>
        <v>7.5895140523693547E-2</v>
      </c>
      <c r="E161" s="18">
        <f t="shared" si="28"/>
        <v>0.55649736569860986</v>
      </c>
      <c r="F161" s="18">
        <f t="shared" si="28"/>
        <v>0.30518591707382486</v>
      </c>
      <c r="G161" s="18">
        <f t="shared" si="28"/>
        <v>3.1888802417099057E-2</v>
      </c>
      <c r="H161" s="18">
        <f t="shared" si="28"/>
        <v>0.19397264019094021</v>
      </c>
      <c r="I161" s="18">
        <f t="shared" si="28"/>
        <v>0.45899702802467174</v>
      </c>
      <c r="J161" s="18">
        <f t="shared" si="28"/>
        <v>0.27825954744436082</v>
      </c>
      <c r="K161" s="18">
        <f t="shared" si="28"/>
        <v>0.24129236704538451</v>
      </c>
      <c r="L161" s="18">
        <f t="shared" si="28"/>
        <v>4.8803036708057621E-2</v>
      </c>
      <c r="M161" s="18">
        <f t="shared" si="28"/>
        <v>4.7503615839868257E-2</v>
      </c>
      <c r="N161" s="18">
        <f t="shared" si="28"/>
        <v>0</v>
      </c>
      <c r="O161" s="18">
        <f t="shared" si="28"/>
        <v>0.45807358444565793</v>
      </c>
      <c r="P161" s="6"/>
    </row>
    <row r="162" spans="1:16" x14ac:dyDescent="0.2">
      <c r="B162" s="40" t="s">
        <v>146</v>
      </c>
      <c r="C162" s="39">
        <v>72.498925753198023</v>
      </c>
      <c r="D162" s="39">
        <v>0.2617423785981734</v>
      </c>
      <c r="E162" s="39">
        <v>15.543562002282323</v>
      </c>
      <c r="F162" s="39">
        <v>1.7458495981149669</v>
      </c>
      <c r="G162" s="39">
        <v>4.4407286595732877E-2</v>
      </c>
      <c r="H162" s="39">
        <v>0.32554686995765497</v>
      </c>
      <c r="I162" s="39">
        <v>3.3297776074103447</v>
      </c>
      <c r="J162" s="39">
        <v>4.1547228291496836</v>
      </c>
      <c r="K162" s="39">
        <v>1.9317179786081562</v>
      </c>
      <c r="L162" s="39">
        <v>0</v>
      </c>
      <c r="M162" s="39">
        <v>0.21151178262883505</v>
      </c>
      <c r="N162" s="39">
        <v>100</v>
      </c>
      <c r="O162" s="39">
        <v>1.1693775817489382</v>
      </c>
      <c r="P162" s="5" t="s">
        <v>579</v>
      </c>
    </row>
    <row r="163" spans="1:16" x14ac:dyDescent="0.2">
      <c r="B163" s="2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6"/>
    </row>
    <row r="164" spans="1:16" x14ac:dyDescent="0.2">
      <c r="A164" s="1" t="s">
        <v>76</v>
      </c>
      <c r="B164" s="23" t="s">
        <v>155</v>
      </c>
      <c r="C164" s="8">
        <v>75.174722310370711</v>
      </c>
      <c r="D164" s="8">
        <v>0.43892812745750848</v>
      </c>
      <c r="E164" s="8">
        <v>13.138462941661036</v>
      </c>
      <c r="F164" s="8">
        <v>2.3059289456502441</v>
      </c>
      <c r="G164" s="8">
        <v>5.9798438968916415E-2</v>
      </c>
      <c r="H164" s="8">
        <v>0.51549642548001651</v>
      </c>
      <c r="I164" s="8">
        <v>2.3793356382568223</v>
      </c>
      <c r="J164" s="8">
        <v>3.5113542223538894</v>
      </c>
      <c r="K164" s="8">
        <v>2.1756012188758751</v>
      </c>
      <c r="L164" s="8">
        <v>6.3162322402499776E-2</v>
      </c>
      <c r="M164" s="8">
        <v>0.30641175253212488</v>
      </c>
      <c r="N164" s="8">
        <v>100</v>
      </c>
      <c r="O164" s="8">
        <v>1.1390088269199441</v>
      </c>
      <c r="P164" s="1" t="s">
        <v>82</v>
      </c>
    </row>
    <row r="165" spans="1:16" x14ac:dyDescent="0.2">
      <c r="B165" s="23" t="s">
        <v>156</v>
      </c>
      <c r="C165" s="8">
        <v>75.542827583485391</v>
      </c>
      <c r="D165" s="8">
        <v>0.4198732365167826</v>
      </c>
      <c r="E165" s="8">
        <v>13.155323982047163</v>
      </c>
      <c r="F165" s="8">
        <v>2.1627702848040644</v>
      </c>
      <c r="G165" s="8">
        <v>6.4709823950807252E-2</v>
      </c>
      <c r="H165" s="8">
        <v>0.45838746211053233</v>
      </c>
      <c r="I165" s="8">
        <v>2.3473467839945936</v>
      </c>
      <c r="J165" s="8">
        <v>3.55325740053858</v>
      </c>
      <c r="K165" s="8">
        <v>2.0843863990927454</v>
      </c>
      <c r="L165" s="8">
        <v>1.9825259004464021E-2</v>
      </c>
      <c r="M165" s="8">
        <v>0.24701881104497656</v>
      </c>
      <c r="N165" s="8">
        <v>100</v>
      </c>
      <c r="O165" s="8">
        <v>1.4546799266364132</v>
      </c>
      <c r="P165" s="6"/>
    </row>
    <row r="166" spans="1:16" x14ac:dyDescent="0.2">
      <c r="B166" s="23" t="s">
        <v>157</v>
      </c>
      <c r="C166" s="8">
        <v>75.993253709504529</v>
      </c>
      <c r="D166" s="8">
        <v>0.39596514105605973</v>
      </c>
      <c r="E166" s="8">
        <v>12.734135603170326</v>
      </c>
      <c r="F166" s="8">
        <v>2.0123045991193984</v>
      </c>
      <c r="G166" s="8">
        <v>5.9918674898674688E-2</v>
      </c>
      <c r="H166" s="8">
        <v>0.43343658295233362</v>
      </c>
      <c r="I166" s="8">
        <v>2.164672468861061</v>
      </c>
      <c r="J166" s="8">
        <v>3.6752118163624186</v>
      </c>
      <c r="K166" s="8">
        <v>2.277237623759234</v>
      </c>
      <c r="L166" s="8">
        <v>5.9327505380144724E-2</v>
      </c>
      <c r="M166" s="8">
        <v>0.25122275073748968</v>
      </c>
      <c r="N166" s="8">
        <v>100</v>
      </c>
      <c r="O166" s="8">
        <v>1.2276572825292122</v>
      </c>
      <c r="P166" s="6"/>
    </row>
    <row r="167" spans="1:16" x14ac:dyDescent="0.2">
      <c r="B167" s="23" t="s">
        <v>158</v>
      </c>
      <c r="C167" s="8">
        <v>76.019460623857611</v>
      </c>
      <c r="D167" s="8">
        <v>0.33383299313133863</v>
      </c>
      <c r="E167" s="8">
        <v>12.676671667289819</v>
      </c>
      <c r="F167" s="8">
        <v>1.8972888295515851</v>
      </c>
      <c r="G167" s="8">
        <v>5.9655103311333245E-2</v>
      </c>
      <c r="H167" s="8">
        <v>0.3956494767207458</v>
      </c>
      <c r="I167" s="8">
        <v>1.8735690664999021</v>
      </c>
      <c r="J167" s="8">
        <v>3.8191539131741363</v>
      </c>
      <c r="K167" s="8">
        <v>2.667566470470383</v>
      </c>
      <c r="L167" s="8">
        <v>0</v>
      </c>
      <c r="M167" s="8">
        <v>0.3321371409131576</v>
      </c>
      <c r="N167" s="8">
        <v>100</v>
      </c>
      <c r="O167" s="8">
        <v>0.76364932745511471</v>
      </c>
      <c r="P167" s="6"/>
    </row>
    <row r="168" spans="1:16" x14ac:dyDescent="0.2">
      <c r="B168" s="23" t="s">
        <v>159</v>
      </c>
      <c r="C168" s="8">
        <v>76.249223031089613</v>
      </c>
      <c r="D168" s="8">
        <v>0.39459436388452074</v>
      </c>
      <c r="E168" s="8">
        <v>12.793663964184818</v>
      </c>
      <c r="F168" s="8">
        <v>1.939214359690282</v>
      </c>
      <c r="G168" s="8">
        <v>2.5996973543037174E-2</v>
      </c>
      <c r="H168" s="8">
        <v>0.37674796721205855</v>
      </c>
      <c r="I168" s="8">
        <v>1.9049125873794155</v>
      </c>
      <c r="J168" s="8">
        <v>3.6747046170664524</v>
      </c>
      <c r="K168" s="8">
        <v>2.4616133170170409</v>
      </c>
      <c r="L168" s="8">
        <v>1.1815614899440956E-2</v>
      </c>
      <c r="M168" s="8">
        <v>0.21628058711212655</v>
      </c>
      <c r="N168" s="8">
        <v>100</v>
      </c>
      <c r="O168" s="8">
        <v>0.79862565638079441</v>
      </c>
      <c r="P168" s="6"/>
    </row>
    <row r="169" spans="1:16" x14ac:dyDescent="0.2">
      <c r="B169" s="23" t="s">
        <v>160</v>
      </c>
      <c r="C169" s="8">
        <v>76.302042285898182</v>
      </c>
      <c r="D169" s="8">
        <v>0.43627163938939928</v>
      </c>
      <c r="E169" s="8">
        <v>12.561128343328997</v>
      </c>
      <c r="F169" s="8">
        <v>2.0662810851226121</v>
      </c>
      <c r="G169" s="8">
        <v>4.8879442674866123E-2</v>
      </c>
      <c r="H169" s="8">
        <v>0.4114612376970152</v>
      </c>
      <c r="I169" s="8">
        <v>1.9927695299478247</v>
      </c>
      <c r="J169" s="8">
        <v>3.8200826601558497</v>
      </c>
      <c r="K169" s="8">
        <v>2.1675030113971308</v>
      </c>
      <c r="L169" s="8">
        <v>0</v>
      </c>
      <c r="M169" s="8">
        <v>0.24994432401214306</v>
      </c>
      <c r="N169" s="8">
        <v>100</v>
      </c>
      <c r="O169" s="8">
        <v>0.72835732363293948</v>
      </c>
      <c r="P169" s="6"/>
    </row>
    <row r="170" spans="1:16" x14ac:dyDescent="0.2">
      <c r="B170" s="23" t="s">
        <v>161</v>
      </c>
      <c r="C170" s="8">
        <v>76.438304481430521</v>
      </c>
      <c r="D170" s="8">
        <v>0.31135141093193736</v>
      </c>
      <c r="E170" s="8">
        <v>12.492353467715619</v>
      </c>
      <c r="F170" s="8">
        <v>1.9083233886075381</v>
      </c>
      <c r="G170" s="8">
        <v>5.6915388247996052E-2</v>
      </c>
      <c r="H170" s="8">
        <v>0.37869255243710909</v>
      </c>
      <c r="I170" s="8">
        <v>2.0937669764410538</v>
      </c>
      <c r="J170" s="8">
        <v>3.7836006366040968</v>
      </c>
      <c r="K170" s="8">
        <v>2.309306880677636</v>
      </c>
      <c r="L170" s="8">
        <v>6.7365469952247223E-2</v>
      </c>
      <c r="M170" s="8">
        <v>0.20664684314516771</v>
      </c>
      <c r="N170" s="8">
        <v>100</v>
      </c>
      <c r="O170" s="8">
        <v>1.368529481532486</v>
      </c>
      <c r="P170" s="6"/>
    </row>
    <row r="171" spans="1:16" x14ac:dyDescent="0.2">
      <c r="B171" s="23" t="s">
        <v>162</v>
      </c>
      <c r="C171" s="8">
        <v>76.57775890996767</v>
      </c>
      <c r="D171" s="8">
        <v>0.39318743962942343</v>
      </c>
      <c r="E171" s="8">
        <v>12.688764687592494</v>
      </c>
      <c r="F171" s="8">
        <v>1.9918075245801339</v>
      </c>
      <c r="G171" s="8">
        <v>4.6087563723378924E-2</v>
      </c>
      <c r="H171" s="8">
        <v>0.42467034578809182</v>
      </c>
      <c r="I171" s="8">
        <v>1.7268455553231323</v>
      </c>
      <c r="J171" s="8">
        <v>3.5035784576844478</v>
      </c>
      <c r="K171" s="8">
        <v>2.3596735403769205</v>
      </c>
      <c r="L171" s="8">
        <v>9.1060105743772865E-2</v>
      </c>
      <c r="M171" s="8">
        <v>0.25383301967107796</v>
      </c>
      <c r="N171" s="8">
        <v>100</v>
      </c>
      <c r="O171" s="8">
        <v>1.2735425054472258</v>
      </c>
      <c r="P171" s="6"/>
    </row>
    <row r="172" spans="1:16" x14ac:dyDescent="0.2">
      <c r="B172" s="23" t="s">
        <v>163</v>
      </c>
      <c r="C172" s="8">
        <v>76.579280779176202</v>
      </c>
      <c r="D172" s="8">
        <v>0.37335494528135404</v>
      </c>
      <c r="E172" s="8">
        <v>13.162456303749146</v>
      </c>
      <c r="F172" s="8">
        <v>1.504557329483786</v>
      </c>
      <c r="G172" s="8">
        <v>1.224484898291606E-2</v>
      </c>
      <c r="H172" s="8">
        <v>0.1827005691680918</v>
      </c>
      <c r="I172" s="8">
        <v>1.8103860976075814</v>
      </c>
      <c r="J172" s="8">
        <v>3.5785071959667674</v>
      </c>
      <c r="K172" s="8">
        <v>2.6691289945292183</v>
      </c>
      <c r="L172" s="8">
        <v>0</v>
      </c>
      <c r="M172" s="8">
        <v>0.16448860015289821</v>
      </c>
      <c r="N172" s="8">
        <v>100</v>
      </c>
      <c r="O172" s="8">
        <v>0.84705141587926125</v>
      </c>
      <c r="P172" s="6"/>
    </row>
    <row r="173" spans="1:16" x14ac:dyDescent="0.2">
      <c r="B173" s="23" t="s">
        <v>164</v>
      </c>
      <c r="C173" s="8">
        <v>76.587057338072981</v>
      </c>
      <c r="D173" s="8">
        <v>0.34630591438134278</v>
      </c>
      <c r="E173" s="8">
        <v>12.691293115700908</v>
      </c>
      <c r="F173" s="8">
        <v>1.8059749423736231</v>
      </c>
      <c r="G173" s="8">
        <v>5.8263484033715042E-2</v>
      </c>
      <c r="H173" s="8">
        <v>0.33347179532067278</v>
      </c>
      <c r="I173" s="8">
        <v>1.9370756151442694</v>
      </c>
      <c r="J173" s="8">
        <v>3.9813464989649239</v>
      </c>
      <c r="K173" s="8">
        <v>2.062273219842591</v>
      </c>
      <c r="L173" s="8">
        <v>6.7261619646701146E-2</v>
      </c>
      <c r="M173" s="8">
        <v>0.16738634702755231</v>
      </c>
      <c r="N173" s="8">
        <v>100</v>
      </c>
      <c r="O173" s="8">
        <v>1.079932745294228</v>
      </c>
      <c r="P173" s="6"/>
    </row>
    <row r="174" spans="1:16" x14ac:dyDescent="0.2">
      <c r="B174" s="23" t="s">
        <v>165</v>
      </c>
      <c r="C174" s="8">
        <v>76.646230098677023</v>
      </c>
      <c r="D174" s="8">
        <v>0.34444032664544411</v>
      </c>
      <c r="E174" s="8">
        <v>13.094719238876804</v>
      </c>
      <c r="F174" s="8">
        <v>1.7244118742431238</v>
      </c>
      <c r="G174" s="8">
        <v>1.5310208315639632E-3</v>
      </c>
      <c r="H174" s="8">
        <v>0.34898797322885033</v>
      </c>
      <c r="I174" s="8">
        <v>2.2957339457922625</v>
      </c>
      <c r="J174" s="8">
        <v>3.3704762553060825</v>
      </c>
      <c r="K174" s="8">
        <v>1.9742902181369415</v>
      </c>
      <c r="L174" s="8">
        <v>0.10266619980993784</v>
      </c>
      <c r="M174" s="8">
        <v>0.12472622178510272</v>
      </c>
      <c r="N174" s="8">
        <v>100</v>
      </c>
      <c r="O174" s="8">
        <v>0.92424730151372314</v>
      </c>
      <c r="P174" s="6"/>
    </row>
    <row r="175" spans="1:16" x14ac:dyDescent="0.2">
      <c r="B175" s="23" t="s">
        <v>166</v>
      </c>
      <c r="C175" s="8">
        <v>76.666410470334554</v>
      </c>
      <c r="D175" s="8">
        <v>0.3889498619982662</v>
      </c>
      <c r="E175" s="8">
        <v>12.524992217660962</v>
      </c>
      <c r="F175" s="8">
        <v>1.9437175807054421</v>
      </c>
      <c r="G175" s="8">
        <v>6.2671766368103676E-2</v>
      </c>
      <c r="H175" s="8">
        <v>0.40347661034358323</v>
      </c>
      <c r="I175" s="8">
        <v>1.9779810586485262</v>
      </c>
      <c r="J175" s="8">
        <v>3.6166691341873345</v>
      </c>
      <c r="K175" s="8">
        <v>2.1402091649965547</v>
      </c>
      <c r="L175" s="8">
        <v>9.0592877257152205E-2</v>
      </c>
      <c r="M175" s="8">
        <v>0.23805366618734866</v>
      </c>
      <c r="N175" s="8">
        <v>100</v>
      </c>
      <c r="O175" s="8">
        <v>0.65651569648696939</v>
      </c>
      <c r="P175" s="6"/>
    </row>
    <row r="176" spans="1:16" x14ac:dyDescent="0.2">
      <c r="B176" s="23" t="s">
        <v>167</v>
      </c>
      <c r="C176" s="8">
        <v>76.787268187740139</v>
      </c>
      <c r="D176" s="8">
        <v>0.38042833889643124</v>
      </c>
      <c r="E176" s="8">
        <v>12.721167144205447</v>
      </c>
      <c r="F176" s="8">
        <v>1.9146764679174855</v>
      </c>
      <c r="G176" s="8">
        <v>6.6361044037818798E-2</v>
      </c>
      <c r="H176" s="8">
        <v>0.38130027889919721</v>
      </c>
      <c r="I176" s="8">
        <v>1.8927100914183974</v>
      </c>
      <c r="J176" s="8">
        <v>3.4311093467069962</v>
      </c>
      <c r="K176" s="8">
        <v>2.2700250856141704</v>
      </c>
      <c r="L176" s="8">
        <v>0</v>
      </c>
      <c r="M176" s="8">
        <v>0.20011073935125534</v>
      </c>
      <c r="N176" s="8">
        <v>100</v>
      </c>
      <c r="O176" s="8">
        <v>1.7432908711805533</v>
      </c>
      <c r="P176" s="6"/>
    </row>
    <row r="177" spans="1:16" x14ac:dyDescent="0.2">
      <c r="B177" s="23" t="s">
        <v>168</v>
      </c>
      <c r="C177" s="8">
        <v>77.079697962465261</v>
      </c>
      <c r="D177" s="8">
        <v>0.38142458529899126</v>
      </c>
      <c r="E177" s="8">
        <v>12.475261625506441</v>
      </c>
      <c r="F177" s="8">
        <v>2.0895747028290592</v>
      </c>
      <c r="G177" s="8">
        <v>1.5347318896604217E-2</v>
      </c>
      <c r="H177" s="8">
        <v>0.41055899328348638</v>
      </c>
      <c r="I177" s="8">
        <v>1.8362043095736094</v>
      </c>
      <c r="J177" s="8">
        <v>3.3007460942856239</v>
      </c>
      <c r="K177" s="8">
        <v>2.2327374237336297</v>
      </c>
      <c r="L177" s="8">
        <v>0</v>
      </c>
      <c r="M177" s="8">
        <v>0.23059933499014929</v>
      </c>
      <c r="N177" s="8">
        <v>100</v>
      </c>
      <c r="O177" s="8">
        <v>1.1822184638991156</v>
      </c>
      <c r="P177" s="6"/>
    </row>
    <row r="178" spans="1:16" x14ac:dyDescent="0.2">
      <c r="B178" s="23" t="s">
        <v>169</v>
      </c>
      <c r="C178" s="8">
        <v>77.085058157102353</v>
      </c>
      <c r="D178" s="8">
        <v>0.33134914798195536</v>
      </c>
      <c r="E178" s="8">
        <v>12.493479159313136</v>
      </c>
      <c r="F178" s="8">
        <v>1.9231920636321655</v>
      </c>
      <c r="G178" s="8">
        <v>0.10167114874513755</v>
      </c>
      <c r="H178" s="8">
        <v>0.40628181843407596</v>
      </c>
      <c r="I178" s="8">
        <v>1.9471963283414342</v>
      </c>
      <c r="J178" s="8">
        <v>3.1640887739409851</v>
      </c>
      <c r="K178" s="8">
        <v>2.2583995471462148</v>
      </c>
      <c r="L178" s="8">
        <v>0.12703288201657884</v>
      </c>
      <c r="M178" s="8">
        <v>0.2094782988834136</v>
      </c>
      <c r="N178" s="8">
        <v>100</v>
      </c>
      <c r="O178" s="8">
        <v>1.4550494897244315</v>
      </c>
      <c r="P178" s="6"/>
    </row>
    <row r="179" spans="1:16" x14ac:dyDescent="0.2">
      <c r="B179" s="23" t="s">
        <v>170</v>
      </c>
      <c r="C179" s="8">
        <v>77.120843941416354</v>
      </c>
      <c r="D179" s="8">
        <v>0.39435872934643257</v>
      </c>
      <c r="E179" s="8">
        <v>12.109863828367228</v>
      </c>
      <c r="F179" s="8">
        <v>2.0138521835888641</v>
      </c>
      <c r="G179" s="8">
        <v>7.6834481740957111E-2</v>
      </c>
      <c r="H179" s="8">
        <v>0.32173212479544466</v>
      </c>
      <c r="I179" s="8">
        <v>1.6373690912206413</v>
      </c>
      <c r="J179" s="8">
        <v>3.5678427801652735</v>
      </c>
      <c r="K179" s="8">
        <v>2.5089834505345538</v>
      </c>
      <c r="L179" s="8">
        <v>1.9791895549453573E-2</v>
      </c>
      <c r="M179" s="8">
        <v>0.29510584347579588</v>
      </c>
      <c r="N179" s="8">
        <v>100</v>
      </c>
      <c r="O179" s="8">
        <v>1.1752149547774888</v>
      </c>
      <c r="P179" s="6"/>
    </row>
    <row r="180" spans="1:16" x14ac:dyDescent="0.2">
      <c r="B180" s="23" t="s">
        <v>171</v>
      </c>
      <c r="C180" s="8">
        <v>77.187353287648634</v>
      </c>
      <c r="D180" s="8">
        <v>0.3324253554574999</v>
      </c>
      <c r="E180" s="8">
        <v>12.439587401442454</v>
      </c>
      <c r="F180" s="8">
        <v>1.7913253031044825</v>
      </c>
      <c r="G180" s="8">
        <v>6.771931512361079E-2</v>
      </c>
      <c r="H180" s="8">
        <v>0.34456418198145244</v>
      </c>
      <c r="I180" s="8">
        <v>1.8342462811416911</v>
      </c>
      <c r="J180" s="8">
        <v>3.6171130011305093</v>
      </c>
      <c r="K180" s="8">
        <v>2.1667749630037174</v>
      </c>
      <c r="L180" s="8">
        <v>7.9340496620964013E-2</v>
      </c>
      <c r="M180" s="8">
        <v>0.18011615716138357</v>
      </c>
      <c r="N180" s="8">
        <v>100</v>
      </c>
      <c r="O180" s="8">
        <v>1.3003965947805274</v>
      </c>
      <c r="P180" s="6"/>
    </row>
    <row r="181" spans="1:16" x14ac:dyDescent="0.2">
      <c r="B181" s="23" t="s">
        <v>172</v>
      </c>
      <c r="C181" s="8">
        <v>77.219537339187411</v>
      </c>
      <c r="D181" s="8">
        <v>0.33847772959391298</v>
      </c>
      <c r="E181" s="8">
        <v>12.473602332353936</v>
      </c>
      <c r="F181" s="8">
        <v>1.8826285959115703</v>
      </c>
      <c r="G181" s="8">
        <v>4.1770707261917173E-2</v>
      </c>
      <c r="H181" s="8">
        <v>0.35618383542809723</v>
      </c>
      <c r="I181" s="8">
        <v>1.8309326808068689</v>
      </c>
      <c r="J181" s="8">
        <v>3.4233096160931074</v>
      </c>
      <c r="K181" s="8">
        <v>2.1927633008079415</v>
      </c>
      <c r="L181" s="8">
        <v>7.5857382645549726E-2</v>
      </c>
      <c r="M181" s="8">
        <v>0.21296371843556322</v>
      </c>
      <c r="N181" s="8">
        <v>100</v>
      </c>
      <c r="O181" s="8">
        <v>1.9643295950719433</v>
      </c>
      <c r="P181" s="6"/>
    </row>
    <row r="182" spans="1:16" x14ac:dyDescent="0.2">
      <c r="B182" s="23" t="s">
        <v>173</v>
      </c>
      <c r="C182" s="8">
        <v>77.408422837917186</v>
      </c>
      <c r="D182" s="8">
        <v>0.35183325658660819</v>
      </c>
      <c r="E182" s="8">
        <v>12.633298046272639</v>
      </c>
      <c r="F182" s="8">
        <v>1.8257827064348926</v>
      </c>
      <c r="G182" s="8">
        <v>0.10016793885062278</v>
      </c>
      <c r="H182" s="8">
        <v>0.30453788163346734</v>
      </c>
      <c r="I182" s="8">
        <v>1.7980085086683564</v>
      </c>
      <c r="J182" s="8">
        <v>3.2727838701034804</v>
      </c>
      <c r="K182" s="8">
        <v>2.1418843661655247</v>
      </c>
      <c r="L182" s="8">
        <v>0</v>
      </c>
      <c r="M182" s="8">
        <v>0.21092745728844048</v>
      </c>
      <c r="N182" s="8">
        <v>100</v>
      </c>
      <c r="O182" s="8">
        <v>1.5881410626790364</v>
      </c>
      <c r="P182" s="6"/>
    </row>
    <row r="183" spans="1:16" x14ac:dyDescent="0.2">
      <c r="B183" s="23" t="s">
        <v>174</v>
      </c>
      <c r="C183" s="8">
        <v>78.198465537098258</v>
      </c>
      <c r="D183" s="8">
        <v>0.37693134208977391</v>
      </c>
      <c r="E183" s="8">
        <v>11.780601101542183</v>
      </c>
      <c r="F183" s="8">
        <v>1.9295058132721155</v>
      </c>
      <c r="G183" s="8">
        <v>6.7756644572965E-2</v>
      </c>
      <c r="H183" s="8">
        <v>0.2761131971256367</v>
      </c>
      <c r="I183" s="8">
        <v>1.4606398985081932</v>
      </c>
      <c r="J183" s="8">
        <v>3.2461821210888586</v>
      </c>
      <c r="K183" s="8">
        <v>2.4765938397248157</v>
      </c>
      <c r="L183" s="8">
        <v>7.9460028101546801E-3</v>
      </c>
      <c r="M183" s="8">
        <v>0.23143760553729545</v>
      </c>
      <c r="N183" s="8">
        <v>100</v>
      </c>
      <c r="O183" s="8">
        <v>1.4685584236327371</v>
      </c>
      <c r="P183" s="6"/>
    </row>
    <row r="184" spans="1:16" x14ac:dyDescent="0.2">
      <c r="B184" s="24" t="s">
        <v>20</v>
      </c>
      <c r="C184" s="18">
        <f t="shared" ref="C184:O184" si="29">AVERAGE(C164:C183)</f>
        <v>76.643160943622021</v>
      </c>
      <c r="D184" s="18">
        <f t="shared" si="29"/>
        <v>0.37321419427774905</v>
      </c>
      <c r="E184" s="18">
        <f t="shared" si="29"/>
        <v>12.642041308599078</v>
      </c>
      <c r="F184" s="18">
        <f t="shared" si="29"/>
        <v>1.9316559290311233</v>
      </c>
      <c r="G184" s="18">
        <f t="shared" si="29"/>
        <v>5.4715056438247089E-2</v>
      </c>
      <c r="H184" s="18">
        <f t="shared" si="29"/>
        <v>0.37322256550199795</v>
      </c>
      <c r="I184" s="18">
        <f t="shared" si="29"/>
        <v>1.9370851256787815</v>
      </c>
      <c r="J184" s="18">
        <f t="shared" si="29"/>
        <v>3.5455559205939906</v>
      </c>
      <c r="K184" s="18">
        <f t="shared" si="29"/>
        <v>2.2798476017951419</v>
      </c>
      <c r="L184" s="18">
        <f t="shared" si="29"/>
        <v>4.4152281686953079E-2</v>
      </c>
      <c r="M184" s="18">
        <f t="shared" si="29"/>
        <v>0.22644446097222309</v>
      </c>
      <c r="N184" s="18">
        <f t="shared" si="29"/>
        <v>100</v>
      </c>
      <c r="O184" s="18">
        <f t="shared" si="29"/>
        <v>1.2069498472727072</v>
      </c>
      <c r="P184" s="6"/>
    </row>
    <row r="185" spans="1:16" x14ac:dyDescent="0.2">
      <c r="B185" s="24" t="s">
        <v>21</v>
      </c>
      <c r="C185" s="18">
        <f t="shared" ref="C185:O185" si="30">STDEV(C164:C183)</f>
        <v>0.67946328474623652</v>
      </c>
      <c r="D185" s="18">
        <f t="shared" si="30"/>
        <v>3.6043338159250086E-2</v>
      </c>
      <c r="E185" s="18">
        <f t="shared" si="30"/>
        <v>0.34154834907174247</v>
      </c>
      <c r="F185" s="18">
        <f t="shared" si="30"/>
        <v>0.16704746581939786</v>
      </c>
      <c r="G185" s="18">
        <f t="shared" si="30"/>
        <v>2.5930821115318924E-2</v>
      </c>
      <c r="H185" s="18">
        <f t="shared" si="30"/>
        <v>7.0940774570838222E-2</v>
      </c>
      <c r="I185" s="18">
        <f t="shared" si="30"/>
        <v>0.23047260189523985</v>
      </c>
      <c r="J185" s="18">
        <f t="shared" si="30"/>
        <v>0.21437965353673377</v>
      </c>
      <c r="K185" s="18">
        <f t="shared" si="30"/>
        <v>0.19159156087259907</v>
      </c>
      <c r="L185" s="18">
        <f t="shared" si="30"/>
        <v>4.2175362559013579E-2</v>
      </c>
      <c r="M185" s="18">
        <f t="shared" si="30"/>
        <v>4.9478907211402919E-2</v>
      </c>
      <c r="N185" s="18">
        <f t="shared" si="30"/>
        <v>0</v>
      </c>
      <c r="O185" s="18">
        <f t="shared" si="30"/>
        <v>0.35278941676902309</v>
      </c>
      <c r="P185" s="6"/>
    </row>
    <row r="186" spans="1:16" x14ac:dyDescent="0.2">
      <c r="B186" s="2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6"/>
    </row>
    <row r="187" spans="1:16" x14ac:dyDescent="0.2">
      <c r="A187" s="1" t="s">
        <v>76</v>
      </c>
      <c r="B187" s="23" t="s">
        <v>39</v>
      </c>
      <c r="C187" s="8">
        <v>74.113399999999999</v>
      </c>
      <c r="D187" s="8">
        <v>4.1176999999999998E-2</v>
      </c>
      <c r="E187" s="8">
        <v>12.980600000000001</v>
      </c>
      <c r="F187" s="8">
        <v>1.60775</v>
      </c>
      <c r="G187" s="8">
        <v>7.4339000000000002E-2</v>
      </c>
      <c r="H187" s="8">
        <v>4.6184000000000003E-2</v>
      </c>
      <c r="I187" s="8">
        <v>0.72609000000000001</v>
      </c>
      <c r="J187" s="8">
        <v>4.0707800000000001</v>
      </c>
      <c r="K187" s="8">
        <v>5.0626600000000002</v>
      </c>
      <c r="L187" s="8">
        <v>0</v>
      </c>
      <c r="M187" s="8">
        <v>0.31525700000000001</v>
      </c>
      <c r="N187" s="8">
        <v>98.967100000000002</v>
      </c>
      <c r="O187" s="8">
        <f t="shared" ref="O187:O190" si="31">100-N187</f>
        <v>1.0328999999999979</v>
      </c>
    </row>
    <row r="188" spans="1:16" x14ac:dyDescent="0.2">
      <c r="B188" s="23" t="s">
        <v>45</v>
      </c>
      <c r="C188" s="8">
        <v>74.403499999999994</v>
      </c>
      <c r="D188" s="8">
        <v>0.112985</v>
      </c>
      <c r="E188" s="8">
        <v>13.148999999999999</v>
      </c>
      <c r="F188" s="8">
        <v>1.6329499999999999</v>
      </c>
      <c r="G188" s="8">
        <v>6.8255999999999997E-2</v>
      </c>
      <c r="H188" s="8">
        <v>2.7267E-2</v>
      </c>
      <c r="I188" s="8">
        <v>0.75452399999999997</v>
      </c>
      <c r="J188" s="8">
        <v>3.93547</v>
      </c>
      <c r="K188" s="8">
        <v>5.0625</v>
      </c>
      <c r="L188" s="8">
        <v>0</v>
      </c>
      <c r="M188" s="8">
        <v>0.34380300000000003</v>
      </c>
      <c r="N188" s="8">
        <v>99.412599999999998</v>
      </c>
      <c r="O188" s="8">
        <f t="shared" si="31"/>
        <v>0.58740000000000236</v>
      </c>
    </row>
    <row r="189" spans="1:16" x14ac:dyDescent="0.2">
      <c r="B189" s="23" t="s">
        <v>46</v>
      </c>
      <c r="C189" s="8">
        <v>74.624600000000001</v>
      </c>
      <c r="D189" s="8">
        <v>0.10809199999999999</v>
      </c>
      <c r="E189" s="8">
        <v>13.0266</v>
      </c>
      <c r="F189" s="8">
        <v>1.6421600000000001</v>
      </c>
      <c r="G189" s="8">
        <v>2.7300000000000001E-2</v>
      </c>
      <c r="H189" s="8">
        <v>4.5315000000000001E-2</v>
      </c>
      <c r="I189" s="8">
        <v>0.74844599999999994</v>
      </c>
      <c r="J189" s="8">
        <v>3.7357900000000002</v>
      </c>
      <c r="K189" s="8">
        <v>5.2814500000000004</v>
      </c>
      <c r="L189" s="8">
        <v>0</v>
      </c>
      <c r="M189" s="8">
        <v>0.30547400000000002</v>
      </c>
      <c r="N189" s="8">
        <v>99.476299999999995</v>
      </c>
      <c r="O189" s="8">
        <f t="shared" si="31"/>
        <v>0.52370000000000516</v>
      </c>
    </row>
    <row r="190" spans="1:16" x14ac:dyDescent="0.2">
      <c r="B190" s="23" t="s">
        <v>47</v>
      </c>
      <c r="C190" s="8">
        <v>74.894499999999994</v>
      </c>
      <c r="D190" s="8">
        <v>9.5449999999999993E-2</v>
      </c>
      <c r="E190" s="8">
        <v>13.182499999999999</v>
      </c>
      <c r="F190" s="8">
        <v>1.54111</v>
      </c>
      <c r="G190" s="8">
        <v>4.5498999999999998E-2</v>
      </c>
      <c r="H190" s="8">
        <v>6.7289000000000002E-2</v>
      </c>
      <c r="I190" s="8">
        <v>0.72917900000000002</v>
      </c>
      <c r="J190" s="8">
        <v>3.8739499999999998</v>
      </c>
      <c r="K190" s="8">
        <v>5.1884100000000002</v>
      </c>
      <c r="L190" s="8">
        <v>1.5547999999999999E-2</v>
      </c>
      <c r="M190" s="8">
        <v>0.31031900000000001</v>
      </c>
      <c r="N190" s="8">
        <v>99.873800000000003</v>
      </c>
      <c r="O190" s="8">
        <f t="shared" si="31"/>
        <v>0.1261999999999972</v>
      </c>
    </row>
    <row r="191" spans="1:16" x14ac:dyDescent="0.2">
      <c r="B191" s="24" t="s">
        <v>20</v>
      </c>
      <c r="C191" s="18">
        <f>AVERAGE(C187:C190)</f>
        <v>74.509</v>
      </c>
      <c r="D191" s="18">
        <f>AVERAGE(D187:D190)</f>
        <v>8.9425999999999992E-2</v>
      </c>
      <c r="E191" s="18">
        <f t="shared" ref="E191:F191" si="32">AVERAGE(E187:E190)</f>
        <v>13.084674999999999</v>
      </c>
      <c r="F191" s="18">
        <f t="shared" si="32"/>
        <v>1.6059924999999999</v>
      </c>
      <c r="G191" s="18">
        <f>AVERAGE(G187:G190)</f>
        <v>5.3848499999999994E-2</v>
      </c>
      <c r="H191" s="18">
        <f t="shared" ref="H191" si="33">AVERAGE(H187:H190)</f>
        <v>4.6513750000000006E-2</v>
      </c>
      <c r="I191" s="18">
        <f>AVERAGE(I187:I190)</f>
        <v>0.73955974999999996</v>
      </c>
      <c r="J191" s="18">
        <f t="shared" ref="J191:O191" si="34">AVERAGE(J187:J190)</f>
        <v>3.9039975</v>
      </c>
      <c r="K191" s="18">
        <f t="shared" si="34"/>
        <v>5.1487550000000004</v>
      </c>
      <c r="L191" s="18">
        <f t="shared" si="34"/>
        <v>3.8869999999999998E-3</v>
      </c>
      <c r="M191" s="18">
        <f t="shared" si="34"/>
        <v>0.31871325</v>
      </c>
      <c r="N191" s="18">
        <f t="shared" si="34"/>
        <v>99.432450000000003</v>
      </c>
      <c r="O191" s="18">
        <f t="shared" si="34"/>
        <v>0.56755000000000067</v>
      </c>
    </row>
    <row r="192" spans="1:16" x14ac:dyDescent="0.2">
      <c r="B192" s="24" t="s">
        <v>21</v>
      </c>
      <c r="C192" s="18">
        <f>STDEV(C187:C190)</f>
        <v>0.33146302961265411</v>
      </c>
      <c r="D192" s="18">
        <f t="shared" ref="D192:F192" si="35">STDEV(D187:D190)</f>
        <v>3.3003538264858828E-2</v>
      </c>
      <c r="E192" s="18">
        <f t="shared" si="35"/>
        <v>9.6456808123289994E-2</v>
      </c>
      <c r="F192" s="18">
        <f t="shared" si="35"/>
        <v>4.563486413916449E-2</v>
      </c>
      <c r="G192" s="18">
        <f>STDEV(G187:G190)</f>
        <v>2.1617690664515209E-2</v>
      </c>
      <c r="H192" s="18">
        <f t="shared" ref="H192" si="36">STDEV(H187:H190)</f>
        <v>1.6366572994470557E-2</v>
      </c>
      <c r="I192" s="18">
        <f>STDEV(I187:I190)</f>
        <v>1.4048586557017012E-2</v>
      </c>
      <c r="J192" s="18">
        <f>STDEV(J187:J190)</f>
        <v>0.13904859567192085</v>
      </c>
      <c r="K192" s="18">
        <f t="shared" ref="K192:O192" si="37">STDEV(K187:K190)</f>
        <v>0.10650939880279753</v>
      </c>
      <c r="L192" s="18">
        <f t="shared" si="37"/>
        <v>7.7739999999999997E-3</v>
      </c>
      <c r="M192" s="18">
        <f t="shared" si="37"/>
        <v>1.7196728300755353E-2</v>
      </c>
      <c r="N192" s="18">
        <f t="shared" si="37"/>
        <v>0.37132972320208002</v>
      </c>
      <c r="O192" s="18">
        <f t="shared" si="37"/>
        <v>0.37132972320208002</v>
      </c>
    </row>
    <row r="193" spans="1:16" x14ac:dyDescent="0.2">
      <c r="B193" s="23"/>
    </row>
    <row r="194" spans="1:16" x14ac:dyDescent="0.2">
      <c r="A194" s="1" t="s">
        <v>76</v>
      </c>
      <c r="B194" s="23" t="s">
        <v>44</v>
      </c>
      <c r="C194" s="39">
        <v>75.35606683262985</v>
      </c>
      <c r="D194" s="39">
        <v>0.3303811578962364</v>
      </c>
      <c r="E194" s="39">
        <v>12.793495669470378</v>
      </c>
      <c r="F194" s="39">
        <v>1.7725735612350266</v>
      </c>
      <c r="G194" s="39">
        <v>5.3933583164857614E-2</v>
      </c>
      <c r="H194" s="39">
        <v>0.3408010111887973</v>
      </c>
      <c r="I194" s="39">
        <v>1.4242362101075607</v>
      </c>
      <c r="J194" s="39">
        <v>3.8821494933124061</v>
      </c>
      <c r="K194" s="39">
        <v>3.7255520685490726</v>
      </c>
      <c r="L194" s="39">
        <v>7.9106177375095288E-2</v>
      </c>
      <c r="M194" s="39">
        <v>0.31216495078033046</v>
      </c>
      <c r="N194" s="39">
        <v>100</v>
      </c>
      <c r="O194" s="39">
        <v>1.5679237017337033</v>
      </c>
      <c r="P194" s="6"/>
    </row>
    <row r="195" spans="1:16" x14ac:dyDescent="0.2">
      <c r="B195" s="23" t="s">
        <v>51</v>
      </c>
      <c r="C195" s="39">
        <v>76.440141079656442</v>
      </c>
      <c r="D195" s="39">
        <v>0.26914201894132306</v>
      </c>
      <c r="E195" s="39">
        <v>13.116217183475943</v>
      </c>
      <c r="F195" s="39">
        <v>1.7874036718359716</v>
      </c>
      <c r="G195" s="39">
        <v>5.3208248159769871E-2</v>
      </c>
      <c r="H195" s="39">
        <v>0.31119638889075568</v>
      </c>
      <c r="I195" s="39">
        <v>1.4625177564217284</v>
      </c>
      <c r="J195" s="39">
        <v>2.8361869058422555</v>
      </c>
      <c r="K195" s="39">
        <v>3.5142258508780819</v>
      </c>
      <c r="L195" s="39">
        <v>0</v>
      </c>
      <c r="M195" s="39">
        <v>0.27095425858197408</v>
      </c>
      <c r="N195" s="39">
        <v>100</v>
      </c>
      <c r="O195" s="39">
        <v>6.2274115270216317</v>
      </c>
      <c r="P195" s="6"/>
    </row>
    <row r="196" spans="1:16" x14ac:dyDescent="0.2">
      <c r="B196" s="23" t="s">
        <v>52</v>
      </c>
      <c r="C196" s="39">
        <v>75.726452485898122</v>
      </c>
      <c r="D196" s="39">
        <v>0.32271174070922004</v>
      </c>
      <c r="E196" s="39">
        <v>13.129168561044334</v>
      </c>
      <c r="F196" s="39">
        <v>1.7788900937283019</v>
      </c>
      <c r="G196" s="39">
        <v>5.6948578953798762E-2</v>
      </c>
      <c r="H196" s="39">
        <v>0.31482636044560519</v>
      </c>
      <c r="I196" s="39">
        <v>1.3873308332154695</v>
      </c>
      <c r="J196" s="39">
        <v>3.4963834452771763</v>
      </c>
      <c r="K196" s="39">
        <v>3.5815843224316191</v>
      </c>
      <c r="L196" s="39">
        <v>0</v>
      </c>
      <c r="M196" s="39">
        <v>0.26573710644130677</v>
      </c>
      <c r="N196" s="39">
        <v>100</v>
      </c>
      <c r="O196" s="39">
        <v>4.2212564580336798</v>
      </c>
      <c r="P196" s="6"/>
    </row>
    <row r="197" spans="1:16" x14ac:dyDescent="0.2">
      <c r="B197" s="23" t="s">
        <v>53</v>
      </c>
      <c r="C197" s="39">
        <v>76.121011054667491</v>
      </c>
      <c r="D197" s="39">
        <v>0.33024330461581869</v>
      </c>
      <c r="E197" s="39">
        <v>13.277574342451965</v>
      </c>
      <c r="F197" s="39">
        <v>1.6857840681656275</v>
      </c>
      <c r="G197" s="39">
        <v>0.11013681325791859</v>
      </c>
      <c r="H197" s="39">
        <v>0.31712372030002045</v>
      </c>
      <c r="I197" s="39">
        <v>1.4012128105762582</v>
      </c>
      <c r="J197" s="39">
        <v>3.0864397615487622</v>
      </c>
      <c r="K197" s="39">
        <v>3.3482217724458385</v>
      </c>
      <c r="L197" s="39">
        <v>0.10667112385088492</v>
      </c>
      <c r="M197" s="39">
        <v>0.2783746427715153</v>
      </c>
      <c r="N197" s="39">
        <v>100</v>
      </c>
      <c r="O197" s="39">
        <v>5.1164515327160611</v>
      </c>
      <c r="P197" s="6"/>
    </row>
    <row r="198" spans="1:16" x14ac:dyDescent="0.2">
      <c r="B198" s="24" t="s">
        <v>20</v>
      </c>
      <c r="C198" s="18">
        <f>AVERAGE(C194:C197)</f>
        <v>75.910917863212973</v>
      </c>
      <c r="D198" s="18">
        <f t="shared" ref="D198:O198" si="38">AVERAGE(D194:D197)</f>
        <v>0.31311955554064957</v>
      </c>
      <c r="E198" s="18">
        <f t="shared" si="38"/>
        <v>13.079113939110654</v>
      </c>
      <c r="F198" s="18">
        <f t="shared" si="38"/>
        <v>1.756162848741232</v>
      </c>
      <c r="G198" s="18">
        <f t="shared" si="38"/>
        <v>6.8556805884086205E-2</v>
      </c>
      <c r="H198" s="18">
        <f t="shared" si="38"/>
        <v>0.32098687020629468</v>
      </c>
      <c r="I198" s="18">
        <f t="shared" si="38"/>
        <v>1.4188244025802543</v>
      </c>
      <c r="J198" s="18">
        <f t="shared" si="38"/>
        <v>3.3252899014951502</v>
      </c>
      <c r="K198" s="18">
        <f t="shared" si="38"/>
        <v>3.5423960035761528</v>
      </c>
      <c r="L198" s="18">
        <f t="shared" si="38"/>
        <v>4.6444325306495053E-2</v>
      </c>
      <c r="M198" s="18">
        <f t="shared" si="38"/>
        <v>0.28180773964378164</v>
      </c>
      <c r="N198" s="18">
        <f t="shared" si="38"/>
        <v>100</v>
      </c>
      <c r="O198" s="18">
        <f t="shared" si="38"/>
        <v>4.283260804876269</v>
      </c>
      <c r="P198" s="6"/>
    </row>
    <row r="199" spans="1:16" x14ac:dyDescent="0.2">
      <c r="B199" s="24" t="s">
        <v>21</v>
      </c>
      <c r="C199" s="18">
        <f>STDEV(C194:C197)</f>
        <v>0.47120537047214706</v>
      </c>
      <c r="D199" s="18">
        <f t="shared" ref="D199:O199" si="39">STDEV(D194:D197)</f>
        <v>2.95365278930175E-2</v>
      </c>
      <c r="E199" s="18">
        <f t="shared" si="39"/>
        <v>0.20399872839967684</v>
      </c>
      <c r="F199" s="18">
        <f t="shared" si="39"/>
        <v>4.731103089203819E-2</v>
      </c>
      <c r="G199" s="18">
        <f t="shared" si="39"/>
        <v>2.7767275779148389E-2</v>
      </c>
      <c r="H199" s="18">
        <f t="shared" si="39"/>
        <v>1.34329137441622E-2</v>
      </c>
      <c r="I199" s="18">
        <f t="shared" si="39"/>
        <v>3.2865432269983431E-2</v>
      </c>
      <c r="J199" s="18">
        <f t="shared" si="39"/>
        <v>0.46030306517619801</v>
      </c>
      <c r="K199" s="18">
        <f t="shared" si="39"/>
        <v>0.15660891631615728</v>
      </c>
      <c r="L199" s="18">
        <f t="shared" si="39"/>
        <v>5.4797246128519765E-2</v>
      </c>
      <c r="M199" s="18">
        <f t="shared" si="39"/>
        <v>2.0891862249935753E-2</v>
      </c>
      <c r="N199" s="18">
        <f t="shared" si="39"/>
        <v>0</v>
      </c>
      <c r="O199" s="18">
        <f t="shared" si="39"/>
        <v>1.987530204559298</v>
      </c>
      <c r="P199" s="6"/>
    </row>
    <row r="200" spans="1:16" x14ac:dyDescent="0.2">
      <c r="B200" s="2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6"/>
    </row>
    <row r="201" spans="1:16" x14ac:dyDescent="0.2">
      <c r="A201" s="1" t="s">
        <v>76</v>
      </c>
      <c r="B201" s="23" t="s">
        <v>176</v>
      </c>
      <c r="C201" s="8">
        <v>73.933078792939881</v>
      </c>
      <c r="D201" s="8">
        <v>0.23446890454010597</v>
      </c>
      <c r="E201" s="8">
        <v>14.425124578036307</v>
      </c>
      <c r="F201" s="8">
        <v>1.4485148423582106</v>
      </c>
      <c r="G201" s="8">
        <v>3.0721295492985027E-2</v>
      </c>
      <c r="H201" s="8">
        <v>0.14968269645054252</v>
      </c>
      <c r="I201" s="8">
        <v>2.1013398453280168</v>
      </c>
      <c r="J201" s="8">
        <v>4.7566270288673174</v>
      </c>
      <c r="K201" s="8">
        <v>2.7648458591971337</v>
      </c>
      <c r="L201" s="8">
        <v>0</v>
      </c>
      <c r="M201" s="8">
        <v>0.20102834695345531</v>
      </c>
      <c r="N201" s="8">
        <v>100</v>
      </c>
      <c r="O201" s="8">
        <v>1.0502450265937304</v>
      </c>
      <c r="P201" s="1" t="s">
        <v>82</v>
      </c>
    </row>
    <row r="202" spans="1:16" x14ac:dyDescent="0.2">
      <c r="B202" s="23" t="s">
        <v>177</v>
      </c>
      <c r="C202" s="8">
        <v>75.034796132695789</v>
      </c>
      <c r="D202" s="8">
        <v>0.44471724660455775</v>
      </c>
      <c r="E202" s="8">
        <v>13.175500101897464</v>
      </c>
      <c r="F202" s="8">
        <v>2.0909299426398333</v>
      </c>
      <c r="G202" s="8">
        <v>2.797679936070549E-2</v>
      </c>
      <c r="H202" s="8">
        <v>0.45135671081821843</v>
      </c>
      <c r="I202" s="8">
        <v>2.2716481789022613</v>
      </c>
      <c r="J202" s="8">
        <v>4.0322417587391621</v>
      </c>
      <c r="K202" s="8">
        <v>2.1319227517371191</v>
      </c>
      <c r="L202" s="8">
        <v>7.5845392584341378E-2</v>
      </c>
      <c r="M202" s="8">
        <v>0.33973289266463902</v>
      </c>
      <c r="N202" s="8">
        <v>100</v>
      </c>
      <c r="O202" s="8">
        <v>2.3029925063279002</v>
      </c>
    </row>
    <row r="203" spans="1:16" x14ac:dyDescent="0.2">
      <c r="B203" s="23" t="s">
        <v>178</v>
      </c>
      <c r="C203" s="8">
        <v>75.626586702200953</v>
      </c>
      <c r="D203" s="8">
        <v>0.42217708030693485</v>
      </c>
      <c r="E203" s="8">
        <v>13.216198857042219</v>
      </c>
      <c r="F203" s="8">
        <v>1.9695878243821832</v>
      </c>
      <c r="G203" s="8">
        <v>6.4774459947493271E-2</v>
      </c>
      <c r="H203" s="8">
        <v>0.44730274064766234</v>
      </c>
      <c r="I203" s="8">
        <v>2.1149714937719035</v>
      </c>
      <c r="J203" s="8">
        <v>3.5256631143567487</v>
      </c>
      <c r="K203" s="8">
        <v>2.3870798573164933</v>
      </c>
      <c r="L203" s="8">
        <v>7.9265113511272824E-3</v>
      </c>
      <c r="M203" s="8">
        <v>0.28118405661311924</v>
      </c>
      <c r="N203" s="8">
        <v>100</v>
      </c>
      <c r="O203" s="8">
        <v>1.5178195584949143</v>
      </c>
    </row>
    <row r="204" spans="1:16" x14ac:dyDescent="0.2">
      <c r="B204" s="23" t="s">
        <v>179</v>
      </c>
      <c r="C204" s="8">
        <v>75.928707451238282</v>
      </c>
      <c r="D204" s="8">
        <v>0.43213048525248238</v>
      </c>
      <c r="E204" s="8">
        <v>12.951137432417994</v>
      </c>
      <c r="F204" s="8">
        <v>1.5186221683004648</v>
      </c>
      <c r="G204" s="8">
        <v>6.4690787478755479E-2</v>
      </c>
      <c r="H204" s="8">
        <v>0.45586653037451941</v>
      </c>
      <c r="I204" s="8">
        <v>2.2259171703156566</v>
      </c>
      <c r="J204" s="8">
        <v>3.7893809635700446</v>
      </c>
      <c r="K204" s="8">
        <v>2.2630823796001724</v>
      </c>
      <c r="L204" s="8">
        <v>0.18213893316313742</v>
      </c>
      <c r="M204" s="8">
        <v>0.24321460546865148</v>
      </c>
      <c r="N204" s="8">
        <v>100</v>
      </c>
      <c r="O204" s="8">
        <v>1.4057552101380777</v>
      </c>
    </row>
    <row r="205" spans="1:16" x14ac:dyDescent="0.2">
      <c r="B205" s="23" t="s">
        <v>180</v>
      </c>
      <c r="C205" s="8">
        <v>75.955614914625244</v>
      </c>
      <c r="D205" s="8">
        <v>0.37136162651734222</v>
      </c>
      <c r="E205" s="8">
        <v>12.937093491622722</v>
      </c>
      <c r="F205" s="8">
        <v>1.6679269941836179</v>
      </c>
      <c r="G205" s="8">
        <v>7.1059202921084044E-2</v>
      </c>
      <c r="H205" s="8">
        <v>0.34451383379514311</v>
      </c>
      <c r="I205" s="8">
        <v>2.1979459331288997</v>
      </c>
      <c r="J205" s="8">
        <v>4.1230770972818629</v>
      </c>
      <c r="K205" s="8">
        <v>2.174210103669953</v>
      </c>
      <c r="L205" s="8">
        <v>7.9413971133719639E-3</v>
      </c>
      <c r="M205" s="8">
        <v>0.19266952710150426</v>
      </c>
      <c r="N205" s="8">
        <v>100</v>
      </c>
      <c r="O205" s="8">
        <v>1.5653806544566422</v>
      </c>
    </row>
    <row r="206" spans="1:16" x14ac:dyDescent="0.2">
      <c r="B206" s="23" t="s">
        <v>181</v>
      </c>
      <c r="C206" s="8">
        <v>75.970513806724995</v>
      </c>
      <c r="D206" s="8">
        <v>0.35039579596479464</v>
      </c>
      <c r="E206" s="8">
        <v>12.962480373627722</v>
      </c>
      <c r="F206" s="8">
        <v>1.8178648883832162</v>
      </c>
      <c r="G206" s="8">
        <v>0.10217736056820123</v>
      </c>
      <c r="H206" s="8">
        <v>0.38667018428628291</v>
      </c>
      <c r="I206" s="17">
        <v>2.0363804626267759</v>
      </c>
      <c r="J206" s="17">
        <v>4.1917349767698093</v>
      </c>
      <c r="K206" s="17">
        <v>2.0427642892330651</v>
      </c>
      <c r="L206" s="17">
        <v>0</v>
      </c>
      <c r="M206" s="17">
        <v>0.1795380970776162</v>
      </c>
      <c r="N206" s="17">
        <v>100</v>
      </c>
      <c r="O206" s="17">
        <v>0.37463217434991153</v>
      </c>
    </row>
    <row r="207" spans="1:16" x14ac:dyDescent="0.2">
      <c r="B207" s="23" t="s">
        <v>182</v>
      </c>
      <c r="C207" s="8">
        <v>76.06307138970017</v>
      </c>
      <c r="D207" s="8">
        <v>0.41958362903902513</v>
      </c>
      <c r="E207" s="8">
        <v>12.914228239498144</v>
      </c>
      <c r="F207" s="8">
        <v>2.0723573672834719</v>
      </c>
      <c r="G207" s="8">
        <v>5.2245805806144893E-2</v>
      </c>
      <c r="H207" s="8">
        <v>0.46934658986959821</v>
      </c>
      <c r="I207" s="17">
        <v>2.0168216403685237</v>
      </c>
      <c r="J207" s="17">
        <v>3.5936403224949363</v>
      </c>
      <c r="K207" s="17">
        <v>2.1051858708254105</v>
      </c>
      <c r="L207" s="17">
        <v>0.12244223734902203</v>
      </c>
      <c r="M207" s="17">
        <v>0.2208570404287486</v>
      </c>
      <c r="N207" s="17">
        <v>100</v>
      </c>
      <c r="O207" s="17">
        <v>1.0107801290429737</v>
      </c>
    </row>
    <row r="208" spans="1:16" x14ac:dyDescent="0.2">
      <c r="B208" s="23" t="s">
        <v>183</v>
      </c>
      <c r="C208" s="8">
        <v>76.18515120364107</v>
      </c>
      <c r="D208" s="8">
        <v>0.45780728652084041</v>
      </c>
      <c r="E208" s="8">
        <v>12.648562092658574</v>
      </c>
      <c r="F208" s="8">
        <v>1.8070654200292184</v>
      </c>
      <c r="G208" s="8">
        <v>7.4912986247335805E-2</v>
      </c>
      <c r="H208" s="8">
        <v>0.35425334963014099</v>
      </c>
      <c r="I208" s="17">
        <v>1.9027600562021494</v>
      </c>
      <c r="J208" s="17">
        <v>3.8531006893675306</v>
      </c>
      <c r="K208" s="17">
        <v>2.4831686089531271</v>
      </c>
      <c r="L208" s="17">
        <v>1.1788951076652652E-2</v>
      </c>
      <c r="M208" s="17">
        <v>0.28599681262033111</v>
      </c>
      <c r="N208" s="17">
        <v>100</v>
      </c>
      <c r="O208" s="17">
        <v>0.65702763535392972</v>
      </c>
    </row>
    <row r="209" spans="2:16" x14ac:dyDescent="0.2">
      <c r="B209" s="23" t="s">
        <v>184</v>
      </c>
      <c r="C209" s="8">
        <v>76.426657560296093</v>
      </c>
      <c r="D209" s="8">
        <v>0.3568885948023956</v>
      </c>
      <c r="E209" s="8">
        <v>12.875237947215071</v>
      </c>
      <c r="F209" s="8">
        <v>2.016310079842254</v>
      </c>
      <c r="G209" s="8">
        <v>0.11297042754529882</v>
      </c>
      <c r="H209" s="8">
        <v>0.42109880878751438</v>
      </c>
      <c r="I209" s="17">
        <v>2.0623556225309594</v>
      </c>
      <c r="J209" s="17">
        <v>3.4104860227551588</v>
      </c>
      <c r="K209" s="17">
        <v>2.1804835174296038</v>
      </c>
      <c r="L209" s="17">
        <v>2.3897453369332713E-2</v>
      </c>
      <c r="M209" s="17">
        <v>0.14671034477197401</v>
      </c>
      <c r="N209" s="17">
        <v>100</v>
      </c>
      <c r="O209" s="17">
        <v>1.8256140838242452</v>
      </c>
    </row>
    <row r="210" spans="2:16" x14ac:dyDescent="0.2">
      <c r="B210" s="23" t="s">
        <v>185</v>
      </c>
      <c r="C210" s="8">
        <v>76.481644582123437</v>
      </c>
      <c r="D210" s="8">
        <v>0.30480352018951834</v>
      </c>
      <c r="E210" s="8">
        <v>12.514782169610095</v>
      </c>
      <c r="F210" s="8">
        <v>1.8997337438089761</v>
      </c>
      <c r="G210" s="8">
        <v>5.9201829891084121E-2</v>
      </c>
      <c r="H210" s="8">
        <v>0.37393348629225132</v>
      </c>
      <c r="I210" s="17">
        <v>1.9627674139849487</v>
      </c>
      <c r="J210" s="17">
        <v>3.2118161334940631</v>
      </c>
      <c r="K210" s="17">
        <v>3.0045707749076853</v>
      </c>
      <c r="L210" s="17">
        <v>4.0020076169620519E-3</v>
      </c>
      <c r="M210" s="17">
        <v>0.23596775905247894</v>
      </c>
      <c r="N210" s="17">
        <v>100</v>
      </c>
      <c r="O210" s="17">
        <v>2.5104410082492725</v>
      </c>
    </row>
    <row r="211" spans="2:16" x14ac:dyDescent="0.2">
      <c r="B211" s="23" t="s">
        <v>186</v>
      </c>
      <c r="C211" s="8">
        <v>76.581744558252382</v>
      </c>
      <c r="D211" s="8">
        <v>0.35966156331395233</v>
      </c>
      <c r="E211" s="8">
        <v>12.830628870532399</v>
      </c>
      <c r="F211" s="8">
        <v>2.0507897725846624</v>
      </c>
      <c r="G211" s="8">
        <v>9.0690514784671841E-2</v>
      </c>
      <c r="H211" s="8">
        <v>0.43888813645422992</v>
      </c>
      <c r="I211" s="17">
        <v>1.8990030970917555</v>
      </c>
      <c r="J211" s="17">
        <v>3.2680075998090792</v>
      </c>
      <c r="K211" s="17">
        <v>2.2271861277308189</v>
      </c>
      <c r="L211" s="17">
        <v>4.7488991205880744E-2</v>
      </c>
      <c r="M211" s="17">
        <v>0.26601019644599877</v>
      </c>
      <c r="N211" s="17">
        <v>100</v>
      </c>
      <c r="O211" s="17">
        <v>1.1911169952711353</v>
      </c>
    </row>
    <row r="212" spans="2:16" x14ac:dyDescent="0.2">
      <c r="B212" s="23" t="s">
        <v>187</v>
      </c>
      <c r="C212" s="8">
        <v>76.632823130950015</v>
      </c>
      <c r="D212" s="8">
        <v>0.50395419918282403</v>
      </c>
      <c r="E212" s="8">
        <v>13.011539956559185</v>
      </c>
      <c r="F212" s="8">
        <v>1.6228471427210174</v>
      </c>
      <c r="G212" s="8">
        <v>4.9805731035680256E-2</v>
      </c>
      <c r="H212" s="8">
        <v>0.1412110903960159</v>
      </c>
      <c r="I212" s="17">
        <v>2.1021420902621673</v>
      </c>
      <c r="J212" s="17">
        <v>3.3581251600558519</v>
      </c>
      <c r="K212" s="17">
        <v>2.2222396368612132</v>
      </c>
      <c r="L212" s="17">
        <v>0.16010037808832636</v>
      </c>
      <c r="M212" s="17">
        <v>0.25198682367470443</v>
      </c>
      <c r="N212" s="17">
        <v>100</v>
      </c>
      <c r="O212" s="17">
        <v>2.3587714983769508</v>
      </c>
    </row>
    <row r="213" spans="2:16" x14ac:dyDescent="0.2">
      <c r="B213" s="23" t="s">
        <v>188</v>
      </c>
      <c r="C213" s="8">
        <v>76.797785057445637</v>
      </c>
      <c r="D213" s="8">
        <v>0.39917497253688261</v>
      </c>
      <c r="E213" s="8">
        <v>12.636765987406577</v>
      </c>
      <c r="F213" s="8">
        <v>1.9015215047916527</v>
      </c>
      <c r="G213" s="8">
        <v>4.0019396854375458E-2</v>
      </c>
      <c r="H213" s="8">
        <v>0.39945656387874184</v>
      </c>
      <c r="I213" s="17">
        <v>1.6603050941788564</v>
      </c>
      <c r="J213" s="17">
        <v>3.6110949546109161</v>
      </c>
      <c r="K213" s="17">
        <v>2.3502950443986044</v>
      </c>
      <c r="L213" s="17">
        <v>5.9436031502215769E-2</v>
      </c>
      <c r="M213" s="17">
        <v>0.18609642482159561</v>
      </c>
      <c r="N213" s="17">
        <v>100</v>
      </c>
      <c r="O213" s="17">
        <v>1.291849589651606</v>
      </c>
    </row>
    <row r="214" spans="2:16" x14ac:dyDescent="0.2">
      <c r="B214" s="23" t="s">
        <v>189</v>
      </c>
      <c r="C214" s="8">
        <v>77.043688750711212</v>
      </c>
      <c r="D214" s="8">
        <v>0.37765220265982857</v>
      </c>
      <c r="E214" s="8">
        <v>12.532497373615847</v>
      </c>
      <c r="F214" s="8">
        <v>1.787421922305795</v>
      </c>
      <c r="G214" s="8">
        <v>4.3009783135632897E-2</v>
      </c>
      <c r="H214" s="8">
        <v>0.39955796348349892</v>
      </c>
      <c r="I214" s="17">
        <v>1.7581832366077035</v>
      </c>
      <c r="J214" s="17">
        <v>3.7013122814710031</v>
      </c>
      <c r="K214" s="17">
        <v>2.1949841276520807</v>
      </c>
      <c r="L214" s="17">
        <v>0</v>
      </c>
      <c r="M214" s="17">
        <v>0.2088452996531476</v>
      </c>
      <c r="N214" s="17">
        <v>100</v>
      </c>
      <c r="O214" s="17">
        <v>1.1019560791539782</v>
      </c>
    </row>
    <row r="215" spans="2:16" x14ac:dyDescent="0.2">
      <c r="B215" s="23" t="s">
        <v>190</v>
      </c>
      <c r="C215" s="8">
        <v>77.047638915346624</v>
      </c>
      <c r="D215" s="8">
        <v>0.363498756823745</v>
      </c>
      <c r="E215" s="8">
        <v>12.604641035035785</v>
      </c>
      <c r="F215" s="8">
        <v>1.9019838026750249</v>
      </c>
      <c r="G215" s="8">
        <v>5.8549726939050736E-2</v>
      </c>
      <c r="H215" s="8">
        <v>0.39038729195738059</v>
      </c>
      <c r="I215" s="17">
        <v>1.816449195004417</v>
      </c>
      <c r="J215" s="17">
        <v>3.4334427190273487</v>
      </c>
      <c r="K215" s="17">
        <v>2.1822683594917893</v>
      </c>
      <c r="L215" s="17">
        <v>6.347146574656154E-2</v>
      </c>
      <c r="M215" s="17">
        <v>0.17778906725520038</v>
      </c>
      <c r="N215" s="17">
        <v>100</v>
      </c>
      <c r="O215" s="17">
        <v>1.4164188648422706</v>
      </c>
    </row>
    <row r="216" spans="2:16" x14ac:dyDescent="0.2">
      <c r="B216" s="23" t="s">
        <v>191</v>
      </c>
      <c r="C216" s="8">
        <v>77.075329682263387</v>
      </c>
      <c r="D216" s="8">
        <v>0.42782333955463181</v>
      </c>
      <c r="E216" s="8">
        <v>12.556726920363893</v>
      </c>
      <c r="F216" s="8">
        <v>1.9022429713077758</v>
      </c>
      <c r="G216" s="8">
        <v>2.6353825625887447E-2</v>
      </c>
      <c r="H216" s="8">
        <v>0.37677311676413716</v>
      </c>
      <c r="I216" s="8">
        <v>1.7799681475785418</v>
      </c>
      <c r="J216" s="8">
        <v>3.415851057564292</v>
      </c>
      <c r="K216" s="8">
        <v>2.2748740449719951</v>
      </c>
      <c r="L216" s="8">
        <v>0</v>
      </c>
      <c r="M216" s="8">
        <v>0.21185847551566239</v>
      </c>
      <c r="N216" s="8">
        <v>100</v>
      </c>
      <c r="O216" s="8">
        <v>1.870218886306334</v>
      </c>
    </row>
    <row r="217" spans="2:16" x14ac:dyDescent="0.2">
      <c r="B217" s="23" t="s">
        <v>192</v>
      </c>
      <c r="C217" s="8">
        <v>77.456946326633641</v>
      </c>
      <c r="D217" s="8">
        <v>0.43652839161663315</v>
      </c>
      <c r="E217" s="8">
        <v>12.617196188875338</v>
      </c>
      <c r="F217" s="8">
        <v>1.8093503155305053</v>
      </c>
      <c r="G217" s="8">
        <v>6.6812253351073631E-2</v>
      </c>
      <c r="H217" s="8">
        <v>0.38142801022713779</v>
      </c>
      <c r="I217" s="8">
        <v>1.7762222154890712</v>
      </c>
      <c r="J217" s="8">
        <v>3.1778750924967012</v>
      </c>
      <c r="K217" s="8">
        <v>2.1495036364743014</v>
      </c>
      <c r="L217" s="8">
        <v>3.2033370169654497E-2</v>
      </c>
      <c r="M217" s="8">
        <v>0.12408165134926764</v>
      </c>
      <c r="N217" s="8">
        <v>100</v>
      </c>
      <c r="O217" s="8">
        <v>2.2156743024809162</v>
      </c>
    </row>
    <row r="218" spans="2:16" x14ac:dyDescent="0.2">
      <c r="B218" s="23" t="s">
        <v>193</v>
      </c>
      <c r="C218" s="8">
        <v>77.476799811645165</v>
      </c>
      <c r="D218" s="8">
        <v>0.43072129688795724</v>
      </c>
      <c r="E218" s="8">
        <v>12.227862856028288</v>
      </c>
      <c r="F218" s="8">
        <v>1.9512649177099606</v>
      </c>
      <c r="G218" s="8">
        <v>9.3186637960266661E-3</v>
      </c>
      <c r="H218" s="8">
        <v>0.38740430986677737</v>
      </c>
      <c r="I218" s="8">
        <v>1.7081835409671664</v>
      </c>
      <c r="J218" s="8">
        <v>3.4211948234190208</v>
      </c>
      <c r="K218" s="8">
        <v>2.1392406363643124</v>
      </c>
      <c r="L218" s="8">
        <v>0</v>
      </c>
      <c r="M218" s="8">
        <v>0.32031605452035544</v>
      </c>
      <c r="N218" s="8">
        <v>100</v>
      </c>
      <c r="O218" s="8">
        <v>2.0664161667761927</v>
      </c>
    </row>
    <row r="219" spans="2:16" x14ac:dyDescent="0.2">
      <c r="B219" s="23" t="s">
        <v>194</v>
      </c>
      <c r="C219" s="8">
        <v>77.880635969507466</v>
      </c>
      <c r="D219" s="8">
        <v>0.41578306621593275</v>
      </c>
      <c r="E219" s="8">
        <v>12.03970033744311</v>
      </c>
      <c r="F219" s="8">
        <v>1.6421390877479229</v>
      </c>
      <c r="G219" s="8">
        <v>2.3292080004984519E-2</v>
      </c>
      <c r="H219" s="8">
        <v>0.27680300939379604</v>
      </c>
      <c r="I219" s="8">
        <v>1.7696960563124788</v>
      </c>
      <c r="J219" s="8">
        <v>3.5807172644277294</v>
      </c>
      <c r="K219" s="8">
        <v>2.0338198969087133</v>
      </c>
      <c r="L219" s="8">
        <v>0.135896486235767</v>
      </c>
      <c r="M219" s="8">
        <v>0.26021886884440215</v>
      </c>
      <c r="N219" s="8">
        <v>100</v>
      </c>
      <c r="O219" s="8">
        <v>2.0374118586959327</v>
      </c>
    </row>
    <row r="220" spans="2:16" x14ac:dyDescent="0.2">
      <c r="B220" s="23" t="s">
        <v>195</v>
      </c>
      <c r="C220" s="8">
        <v>79.151925649170082</v>
      </c>
      <c r="D220" s="8">
        <v>0.43948406711984689</v>
      </c>
      <c r="E220" s="8">
        <v>11.347383676263004</v>
      </c>
      <c r="F220" s="8">
        <v>1.7056397278930471</v>
      </c>
      <c r="G220" s="8">
        <v>6.9512216153121101E-2</v>
      </c>
      <c r="H220" s="8">
        <v>0.27835888297747635</v>
      </c>
      <c r="I220" s="8">
        <v>1.1252243614088437</v>
      </c>
      <c r="J220" s="8">
        <v>3.0878540670753503</v>
      </c>
      <c r="K220" s="8">
        <v>2.6128449446883977</v>
      </c>
      <c r="L220" s="8">
        <v>1.9920458744627889E-2</v>
      </c>
      <c r="M220" s="8">
        <v>0.20895034509723776</v>
      </c>
      <c r="N220" s="8">
        <v>100</v>
      </c>
      <c r="O220" s="8">
        <v>1.6453655711189272</v>
      </c>
    </row>
    <row r="221" spans="2:16" x14ac:dyDescent="0.2">
      <c r="B221" s="24" t="s">
        <v>20</v>
      </c>
      <c r="C221" s="18">
        <f t="shared" ref="C221:O221" si="40">AVERAGE(C201:C220)</f>
        <v>76.537557019405568</v>
      </c>
      <c r="D221" s="18">
        <f t="shared" si="40"/>
        <v>0.39743080128251151</v>
      </c>
      <c r="E221" s="18">
        <f t="shared" si="40"/>
        <v>12.751264424287488</v>
      </c>
      <c r="F221" s="18">
        <f t="shared" si="40"/>
        <v>1.8292057218239406</v>
      </c>
      <c r="G221" s="18">
        <f t="shared" si="40"/>
        <v>5.690475734697964E-2</v>
      </c>
      <c r="H221" s="18">
        <f t="shared" si="40"/>
        <v>0.36621466531755331</v>
      </c>
      <c r="I221" s="18">
        <f t="shared" si="40"/>
        <v>1.9144142426030553</v>
      </c>
      <c r="J221" s="18">
        <f t="shared" si="40"/>
        <v>3.6271621563826963</v>
      </c>
      <c r="K221" s="18">
        <f t="shared" si="40"/>
        <v>2.296228523420599</v>
      </c>
      <c r="L221" s="18">
        <f t="shared" si="40"/>
        <v>4.7716503265849058E-2</v>
      </c>
      <c r="M221" s="18">
        <f t="shared" si="40"/>
        <v>0.22715263449650452</v>
      </c>
      <c r="N221" s="18">
        <f t="shared" si="40"/>
        <v>100</v>
      </c>
      <c r="O221" s="18">
        <f t="shared" si="40"/>
        <v>1.5707943899752921</v>
      </c>
    </row>
    <row r="222" spans="2:16" x14ac:dyDescent="0.2">
      <c r="B222" s="24" t="s">
        <v>21</v>
      </c>
      <c r="C222" s="18">
        <f t="shared" ref="C222:O222" si="41">STDEV(C201:C220)</f>
        <v>1.088640993452608</v>
      </c>
      <c r="D222" s="18">
        <f t="shared" si="41"/>
        <v>5.9756398190643899E-2</v>
      </c>
      <c r="E222" s="18">
        <f t="shared" si="41"/>
        <v>0.57987848973495604</v>
      </c>
      <c r="F222" s="18">
        <f t="shared" si="41"/>
        <v>0.18211824666266194</v>
      </c>
      <c r="G222" s="18">
        <f t="shared" si="41"/>
        <v>2.6800460927282346E-2</v>
      </c>
      <c r="H222" s="18">
        <f t="shared" si="41"/>
        <v>9.1393490748189296E-2</v>
      </c>
      <c r="I222" s="18">
        <f t="shared" si="41"/>
        <v>0.26030874423900369</v>
      </c>
      <c r="J222" s="18">
        <f t="shared" si="41"/>
        <v>0.40648071917472328</v>
      </c>
      <c r="K222" s="18">
        <f t="shared" si="41"/>
        <v>0.24855464000203017</v>
      </c>
      <c r="L222" s="18">
        <f t="shared" si="41"/>
        <v>5.82974776225125E-2</v>
      </c>
      <c r="M222" s="18">
        <f t="shared" si="41"/>
        <v>5.5053650427069049E-2</v>
      </c>
      <c r="N222" s="18">
        <f t="shared" si="41"/>
        <v>0</v>
      </c>
      <c r="O222" s="18">
        <f t="shared" si="41"/>
        <v>0.58153113915588184</v>
      </c>
    </row>
    <row r="223" spans="2:16" x14ac:dyDescent="0.2">
      <c r="B223" s="23" t="s">
        <v>175</v>
      </c>
      <c r="C223" s="8">
        <v>71.500865677589772</v>
      </c>
      <c r="D223" s="8">
        <v>0.30578669992487151</v>
      </c>
      <c r="E223" s="8">
        <v>15.959983498802909</v>
      </c>
      <c r="F223" s="8">
        <v>1.1887863825747005</v>
      </c>
      <c r="G223" s="8">
        <v>2.4344465598311951E-2</v>
      </c>
      <c r="H223" s="8">
        <v>9.4511158984322052E-2</v>
      </c>
      <c r="I223" s="8">
        <v>3.0441688597484728</v>
      </c>
      <c r="J223" s="8">
        <v>5.3754541206406641</v>
      </c>
      <c r="K223" s="8">
        <v>2.3661559812416026</v>
      </c>
      <c r="L223" s="8">
        <v>3.116551870080651E-2</v>
      </c>
      <c r="M223" s="8">
        <v>0.14014327380598321</v>
      </c>
      <c r="N223" s="8">
        <v>100</v>
      </c>
      <c r="O223" s="8">
        <v>5.9455808927052337E-2</v>
      </c>
      <c r="P223" s="1" t="s">
        <v>579</v>
      </c>
    </row>
    <row r="224" spans="2:16" x14ac:dyDescent="0.2">
      <c r="B224" s="2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6" x14ac:dyDescent="0.2">
      <c r="A225" s="1" t="s">
        <v>76</v>
      </c>
      <c r="B225" s="23" t="s">
        <v>196</v>
      </c>
      <c r="C225" s="8">
        <v>75.064629925485917</v>
      </c>
      <c r="D225" s="8">
        <v>0.4503034061412497</v>
      </c>
      <c r="E225" s="8">
        <v>13.111334192347829</v>
      </c>
      <c r="F225" s="8">
        <v>2.2867029146228006</v>
      </c>
      <c r="G225" s="8">
        <v>8.4720402272481357E-2</v>
      </c>
      <c r="H225" s="8">
        <v>0.51912361464617651</v>
      </c>
      <c r="I225" s="8">
        <v>2.2333750209491883</v>
      </c>
      <c r="J225" s="8">
        <v>3.8107329448700016</v>
      </c>
      <c r="K225" s="8">
        <v>2.1666873209272812</v>
      </c>
      <c r="L225" s="8">
        <v>1.1848731281779771E-2</v>
      </c>
      <c r="M225" s="8">
        <v>0.33643332336594617</v>
      </c>
      <c r="N225" s="8">
        <v>100</v>
      </c>
      <c r="O225" s="8">
        <v>1.2106541537522078</v>
      </c>
      <c r="P225" s="1" t="s">
        <v>82</v>
      </c>
    </row>
    <row r="226" spans="1:16" x14ac:dyDescent="0.2">
      <c r="B226" s="23" t="s">
        <v>197</v>
      </c>
      <c r="C226" s="8">
        <v>75.358006497776046</v>
      </c>
      <c r="D226" s="8">
        <v>0.33841933246459954</v>
      </c>
      <c r="E226" s="8">
        <v>13.142727625590252</v>
      </c>
      <c r="F226" s="8">
        <v>2.34156051480843</v>
      </c>
      <c r="G226" s="8">
        <v>9.5653223902420745E-2</v>
      </c>
      <c r="H226" s="8">
        <v>0.54541746993786255</v>
      </c>
      <c r="I226" s="8">
        <v>2.3930080130366354</v>
      </c>
      <c r="J226" s="8">
        <v>3.4057007303276841</v>
      </c>
      <c r="K226" s="8">
        <v>2.1731398926535661</v>
      </c>
      <c r="L226" s="8">
        <v>0</v>
      </c>
      <c r="M226" s="8">
        <v>0.26650533833958279</v>
      </c>
      <c r="N226" s="8">
        <v>100</v>
      </c>
      <c r="O226" s="8">
        <v>1.3544094330286103</v>
      </c>
    </row>
    <row r="227" spans="1:16" x14ac:dyDescent="0.2">
      <c r="B227" s="23" t="s">
        <v>198</v>
      </c>
      <c r="C227" s="8">
        <v>75.436029945724755</v>
      </c>
      <c r="D227" s="8">
        <v>0.41840092004913265</v>
      </c>
      <c r="E227" s="8">
        <v>13.778977888379268</v>
      </c>
      <c r="F227" s="8">
        <v>1.8362833917771544</v>
      </c>
      <c r="G227" s="8">
        <v>6.2086763789385664E-2</v>
      </c>
      <c r="H227" s="8">
        <v>0.3874461869506336</v>
      </c>
      <c r="I227" s="8">
        <v>2.7036863887408247</v>
      </c>
      <c r="J227" s="8">
        <v>3.420743065263284</v>
      </c>
      <c r="K227" s="8">
        <v>1.8378220088145401</v>
      </c>
      <c r="L227" s="8">
        <v>0</v>
      </c>
      <c r="M227" s="8">
        <v>0.15306182666944407</v>
      </c>
      <c r="N227" s="8">
        <v>100</v>
      </c>
      <c r="O227" s="8">
        <v>1.8951680387738197</v>
      </c>
    </row>
    <row r="228" spans="1:16" x14ac:dyDescent="0.2">
      <c r="B228" s="23" t="s">
        <v>199</v>
      </c>
      <c r="C228" s="8">
        <v>75.620356072566992</v>
      </c>
      <c r="D228" s="8">
        <v>0.43069061225382427</v>
      </c>
      <c r="E228" s="8">
        <v>12.932728094183391</v>
      </c>
      <c r="F228" s="8">
        <v>2.2844237253166919</v>
      </c>
      <c r="G228" s="8">
        <v>6.6133291619563203E-2</v>
      </c>
      <c r="H228" s="8">
        <v>0.50013188154473887</v>
      </c>
      <c r="I228" s="8">
        <v>2.2389503956176853</v>
      </c>
      <c r="J228" s="8">
        <v>3.6192305933139539</v>
      </c>
      <c r="K228" s="8">
        <v>2.1457815832801397</v>
      </c>
      <c r="L228" s="8">
        <v>0</v>
      </c>
      <c r="M228" s="8">
        <v>0.20864197977090468</v>
      </c>
      <c r="N228" s="8">
        <v>100</v>
      </c>
      <c r="O228" s="8">
        <v>1.0069517969929911</v>
      </c>
    </row>
    <row r="229" spans="1:16" x14ac:dyDescent="0.2">
      <c r="B229" s="23" t="s">
        <v>200</v>
      </c>
      <c r="C229" s="8">
        <v>75.676456123609796</v>
      </c>
      <c r="D229" s="8">
        <v>0.42711242386645226</v>
      </c>
      <c r="E229" s="8">
        <v>12.806850481982805</v>
      </c>
      <c r="F229" s="8">
        <v>2.3066661409902554</v>
      </c>
      <c r="G229" s="8">
        <v>8.3828569181551696E-2</v>
      </c>
      <c r="H229" s="8">
        <v>0.53376268792229098</v>
      </c>
      <c r="I229" s="8">
        <v>2.0822665874273953</v>
      </c>
      <c r="J229" s="8">
        <v>3.4785145988023278</v>
      </c>
      <c r="K229" s="8">
        <v>2.2057399283166346</v>
      </c>
      <c r="L229" s="8">
        <v>0.16735705435697432</v>
      </c>
      <c r="M229" s="8">
        <v>0.298915311615426</v>
      </c>
      <c r="N229" s="8">
        <v>100</v>
      </c>
      <c r="O229" s="8">
        <v>2.0693898398272332</v>
      </c>
    </row>
    <row r="230" spans="1:16" x14ac:dyDescent="0.2">
      <c r="B230" s="23" t="s">
        <v>201</v>
      </c>
      <c r="C230" s="8">
        <v>75.77630843058526</v>
      </c>
      <c r="D230" s="8">
        <v>0.3382205955687449</v>
      </c>
      <c r="E230" s="8">
        <v>12.996247005848833</v>
      </c>
      <c r="F230" s="8">
        <v>2.343747747637476</v>
      </c>
      <c r="G230" s="8">
        <v>6.8631624502270852E-2</v>
      </c>
      <c r="H230" s="8">
        <v>0.53255837800366546</v>
      </c>
      <c r="I230" s="8">
        <v>2.2424362508275029</v>
      </c>
      <c r="J230" s="8">
        <v>3.2863441774116415</v>
      </c>
      <c r="K230" s="8">
        <v>2.0865763495167102</v>
      </c>
      <c r="L230" s="8">
        <v>8.008013095675276E-2</v>
      </c>
      <c r="M230" s="8">
        <v>0.32125885882274346</v>
      </c>
      <c r="N230" s="8">
        <v>100</v>
      </c>
      <c r="O230" s="8">
        <v>2.4383183113986338</v>
      </c>
    </row>
    <row r="231" spans="1:16" x14ac:dyDescent="0.2">
      <c r="B231" s="23" t="s">
        <v>202</v>
      </c>
      <c r="C231" s="8">
        <v>75.795775623898393</v>
      </c>
      <c r="D231" s="8">
        <v>0.38241859472071421</v>
      </c>
      <c r="E231" s="8">
        <v>12.980608322558599</v>
      </c>
      <c r="F231" s="8">
        <v>2.1276038756885227</v>
      </c>
      <c r="G231" s="8">
        <v>6.3028242380128288E-2</v>
      </c>
      <c r="H231" s="8">
        <v>0.49424824539016193</v>
      </c>
      <c r="I231" s="8">
        <v>2.1728862433469502</v>
      </c>
      <c r="J231" s="8">
        <v>3.6411857222150545</v>
      </c>
      <c r="K231" s="8">
        <v>2.1714705373460168</v>
      </c>
      <c r="L231" s="8">
        <v>1.5797256533272862E-2</v>
      </c>
      <c r="M231" s="8">
        <v>0.20020509777771692</v>
      </c>
      <c r="N231" s="8">
        <v>100</v>
      </c>
      <c r="O231" s="8">
        <v>1.1218572095305359</v>
      </c>
    </row>
    <row r="232" spans="1:16" x14ac:dyDescent="0.2">
      <c r="B232" s="23" t="s">
        <v>203</v>
      </c>
      <c r="C232" s="8">
        <v>76.049634000359504</v>
      </c>
      <c r="D232" s="8">
        <v>0.39307018069201377</v>
      </c>
      <c r="E232" s="8">
        <v>12.916704457938094</v>
      </c>
      <c r="F232" s="8">
        <v>2.1253565710178188</v>
      </c>
      <c r="G232" s="8">
        <v>6.8184655926437049E-2</v>
      </c>
      <c r="H232" s="8">
        <v>0.48454682022848439</v>
      </c>
      <c r="I232" s="8">
        <v>2.1211894648997558</v>
      </c>
      <c r="J232" s="8">
        <v>3.4440266041291516</v>
      </c>
      <c r="K232" s="8">
        <v>2.2000180713434068</v>
      </c>
      <c r="L232" s="8">
        <v>4.3793330629022069E-2</v>
      </c>
      <c r="M232" s="8">
        <v>0.19816066927299211</v>
      </c>
      <c r="N232" s="8">
        <v>100</v>
      </c>
      <c r="O232" s="8">
        <v>1.8852351604636064</v>
      </c>
    </row>
    <row r="233" spans="1:16" x14ac:dyDescent="0.2">
      <c r="B233" s="23" t="s">
        <v>204</v>
      </c>
      <c r="C233" s="8">
        <v>76.214246059089206</v>
      </c>
      <c r="D233" s="8">
        <v>0.41216847541559976</v>
      </c>
      <c r="E233" s="8">
        <v>12.9432020330326</v>
      </c>
      <c r="F233" s="8">
        <v>2.1164733099449426</v>
      </c>
      <c r="G233" s="8">
        <v>8.0734945695364033E-2</v>
      </c>
      <c r="H233" s="8">
        <v>0.42164097605276235</v>
      </c>
      <c r="I233" s="8">
        <v>2.1547568530431507</v>
      </c>
      <c r="J233" s="8">
        <v>3.3004288384044997</v>
      </c>
      <c r="K233" s="8">
        <v>2.1172685473248789</v>
      </c>
      <c r="L233" s="8">
        <v>0</v>
      </c>
      <c r="M233" s="8">
        <v>0.30875193229531323</v>
      </c>
      <c r="N233" s="8">
        <v>100</v>
      </c>
      <c r="O233" s="8">
        <v>1.9535102482245275</v>
      </c>
    </row>
    <row r="234" spans="1:16" x14ac:dyDescent="0.2">
      <c r="B234" s="23" t="s">
        <v>205</v>
      </c>
      <c r="C234" s="8">
        <v>76.256418861896066</v>
      </c>
      <c r="D234" s="8">
        <v>0.41750784597180907</v>
      </c>
      <c r="E234" s="8">
        <v>12.998403858346913</v>
      </c>
      <c r="F234" s="8">
        <v>1.7865814224512204</v>
      </c>
      <c r="G234" s="8">
        <v>6.6222348360747821E-2</v>
      </c>
      <c r="H234" s="8">
        <v>0.51274027161621993</v>
      </c>
      <c r="I234" s="8">
        <v>1.2825459944823472</v>
      </c>
      <c r="J234" s="8">
        <v>3.7179300483044608</v>
      </c>
      <c r="K234" s="8">
        <v>2.5846215034099438</v>
      </c>
      <c r="L234" s="8">
        <v>0.18200880414864934</v>
      </c>
      <c r="M234" s="8">
        <v>0.25174262191146374</v>
      </c>
      <c r="N234" s="8">
        <v>100</v>
      </c>
      <c r="O234" s="8">
        <v>1.136791534176091</v>
      </c>
      <c r="P234" s="25"/>
    </row>
    <row r="235" spans="1:16" x14ac:dyDescent="0.2">
      <c r="B235" s="23" t="s">
        <v>206</v>
      </c>
      <c r="C235" s="8">
        <v>76.278983208204266</v>
      </c>
      <c r="D235" s="8">
        <v>0.37632729126041647</v>
      </c>
      <c r="E235" s="8">
        <v>12.87694593127268</v>
      </c>
      <c r="F235" s="8">
        <v>2.0928002850922574</v>
      </c>
      <c r="G235" s="8">
        <v>2.633349138682441E-2</v>
      </c>
      <c r="H235" s="8">
        <v>0.44404125606194922</v>
      </c>
      <c r="I235" s="8">
        <v>2.0058399910419578</v>
      </c>
      <c r="J235" s="8">
        <v>3.3856269611470839</v>
      </c>
      <c r="K235" s="8">
        <v>2.2060014079209673</v>
      </c>
      <c r="L235" s="8">
        <v>0.14327064839434647</v>
      </c>
      <c r="M235" s="8">
        <v>0.2115823379336722</v>
      </c>
      <c r="N235" s="8">
        <v>100</v>
      </c>
      <c r="O235" s="8">
        <v>1.8270422134658744</v>
      </c>
    </row>
    <row r="236" spans="1:16" x14ac:dyDescent="0.2">
      <c r="B236" s="23" t="s">
        <v>207</v>
      </c>
      <c r="C236" s="8">
        <v>76.291617265601161</v>
      </c>
      <c r="D236" s="8">
        <v>0.41708194738326476</v>
      </c>
      <c r="E236" s="8">
        <v>12.67241543623566</v>
      </c>
      <c r="F236" s="8">
        <v>1.9402394757480437</v>
      </c>
      <c r="G236" s="8">
        <v>7.8927027468866609E-2</v>
      </c>
      <c r="H236" s="8">
        <v>0.43826596561959896</v>
      </c>
      <c r="I236" s="8">
        <v>2.0416895074514936</v>
      </c>
      <c r="J236" s="8">
        <v>3.2312231307366166</v>
      </c>
      <c r="K236" s="8">
        <v>2.6887407761501136</v>
      </c>
      <c r="L236" s="8">
        <v>6.7452181603750785E-2</v>
      </c>
      <c r="M236" s="8">
        <v>0.17080605227587944</v>
      </c>
      <c r="N236" s="8">
        <v>100</v>
      </c>
      <c r="O236" s="8">
        <v>1.5922608686659896</v>
      </c>
    </row>
    <row r="237" spans="1:16" x14ac:dyDescent="0.2">
      <c r="B237" s="23" t="s">
        <v>208</v>
      </c>
      <c r="C237" s="8">
        <v>76.321476756548194</v>
      </c>
      <c r="D237" s="8">
        <v>0.36402816209500732</v>
      </c>
      <c r="E237" s="8">
        <v>12.99426777107729</v>
      </c>
      <c r="F237" s="8">
        <v>1.9402708832328222</v>
      </c>
      <c r="G237" s="8">
        <v>4.0596705110097303E-2</v>
      </c>
      <c r="H237" s="8">
        <v>0.4461936046553725</v>
      </c>
      <c r="I237" s="8">
        <v>2.0250878823666905</v>
      </c>
      <c r="J237" s="8">
        <v>3.5255859062122288</v>
      </c>
      <c r="K237" s="8">
        <v>2.1024710898695074</v>
      </c>
      <c r="L237" s="8">
        <v>6.8201193150256925E-2</v>
      </c>
      <c r="M237" s="8">
        <v>0.22190842101728786</v>
      </c>
      <c r="N237" s="8">
        <v>100</v>
      </c>
      <c r="O237" s="8">
        <v>2.535056980014907</v>
      </c>
    </row>
    <row r="238" spans="1:16" x14ac:dyDescent="0.2">
      <c r="B238" s="23" t="s">
        <v>209</v>
      </c>
      <c r="C238" s="8">
        <v>76.330432173537517</v>
      </c>
      <c r="D238" s="8">
        <v>0.38442728399422404</v>
      </c>
      <c r="E238" s="8">
        <v>12.838355057854708</v>
      </c>
      <c r="F238" s="8">
        <v>2.0648085153745153</v>
      </c>
      <c r="G238" s="8">
        <v>6.177682427614338E-2</v>
      </c>
      <c r="H238" s="8">
        <v>0.43441788752854027</v>
      </c>
      <c r="I238" s="8">
        <v>2.0085443222288908</v>
      </c>
      <c r="J238" s="8">
        <v>3.4672072450692371</v>
      </c>
      <c r="K238" s="8">
        <v>2.0699289836564567</v>
      </c>
      <c r="L238" s="8">
        <v>0.11907730266930336</v>
      </c>
      <c r="M238" s="8">
        <v>0.28540006893288189</v>
      </c>
      <c r="N238" s="8">
        <v>100</v>
      </c>
      <c r="O238" s="8">
        <v>1.5965928956737423</v>
      </c>
    </row>
    <row r="239" spans="1:16" x14ac:dyDescent="0.2">
      <c r="B239" s="23" t="s">
        <v>210</v>
      </c>
      <c r="C239" s="8">
        <v>76.351692638606664</v>
      </c>
      <c r="D239" s="8">
        <v>0.39049645699019592</v>
      </c>
      <c r="E239" s="8">
        <v>12.924880585099489</v>
      </c>
      <c r="F239" s="8">
        <v>2.0003565400224912</v>
      </c>
      <c r="G239" s="8">
        <v>7.2720104541728239E-2</v>
      </c>
      <c r="H239" s="8">
        <v>0.46423550854172208</v>
      </c>
      <c r="I239" s="8">
        <v>2.065506162892222</v>
      </c>
      <c r="J239" s="8">
        <v>3.4199539204326528</v>
      </c>
      <c r="K239" s="8">
        <v>2.1447056732450074</v>
      </c>
      <c r="L239" s="8">
        <v>0</v>
      </c>
      <c r="M239" s="8">
        <v>0.21368019765987187</v>
      </c>
      <c r="N239" s="8">
        <v>100</v>
      </c>
      <c r="O239" s="8">
        <v>1.5899311862314969</v>
      </c>
    </row>
    <row r="240" spans="1:16" x14ac:dyDescent="0.2">
      <c r="B240" s="23" t="s">
        <v>211</v>
      </c>
      <c r="C240" s="8">
        <v>76.43474595090855</v>
      </c>
      <c r="D240" s="8">
        <v>0.3814565837485554</v>
      </c>
      <c r="E240" s="8">
        <v>12.891416978938103</v>
      </c>
      <c r="F240" s="8">
        <v>2.0358615551482404</v>
      </c>
      <c r="G240" s="8">
        <v>6.0576524025979121E-2</v>
      </c>
      <c r="H240" s="8">
        <v>0.46916847782284044</v>
      </c>
      <c r="I240" s="8">
        <v>2.093820102893015</v>
      </c>
      <c r="J240" s="8">
        <v>3.2347763883758494</v>
      </c>
      <c r="K240" s="8">
        <v>2.1694018022307819</v>
      </c>
      <c r="L240" s="8">
        <v>0</v>
      </c>
      <c r="M240" s="8">
        <v>0.29540297928597198</v>
      </c>
      <c r="N240" s="8">
        <v>100</v>
      </c>
      <c r="O240" s="8">
        <v>1.9858309779603642</v>
      </c>
    </row>
    <row r="241" spans="1:15" x14ac:dyDescent="0.2">
      <c r="B241" s="23" t="s">
        <v>212</v>
      </c>
      <c r="C241" s="8">
        <v>76.436564134137541</v>
      </c>
      <c r="D241" s="8">
        <v>0.41609399540175862</v>
      </c>
      <c r="E241" s="8">
        <v>13.003342605823246</v>
      </c>
      <c r="F241" s="8">
        <v>2.002064326457198</v>
      </c>
      <c r="G241" s="8">
        <v>5.8636565925502496E-2</v>
      </c>
      <c r="H241" s="8">
        <v>0.39097055151523002</v>
      </c>
      <c r="I241" s="8">
        <v>2.1174388643150039</v>
      </c>
      <c r="J241" s="8">
        <v>3.1771258296974287</v>
      </c>
      <c r="K241" s="8">
        <v>2.0698524396295359</v>
      </c>
      <c r="L241" s="8">
        <v>9.112238043560561E-2</v>
      </c>
      <c r="M241" s="8">
        <v>0.30570503974274327</v>
      </c>
      <c r="N241" s="8">
        <v>100</v>
      </c>
      <c r="O241" s="8">
        <v>1.3123795730644352</v>
      </c>
    </row>
    <row r="242" spans="1:15" x14ac:dyDescent="0.2">
      <c r="B242" s="23" t="s">
        <v>213</v>
      </c>
      <c r="C242" s="8">
        <v>76.580415711505992</v>
      </c>
      <c r="D242" s="8">
        <v>0.56809289936348406</v>
      </c>
      <c r="E242" s="8">
        <v>12.789290124016464</v>
      </c>
      <c r="F242" s="8">
        <v>1.8836685516480722</v>
      </c>
      <c r="G242" s="8">
        <v>7.4699033061830872E-2</v>
      </c>
      <c r="H242" s="8">
        <v>0.3488321636249499</v>
      </c>
      <c r="I242" s="8">
        <v>2.0328765958872523</v>
      </c>
      <c r="J242" s="8">
        <v>3.2827506491778942</v>
      </c>
      <c r="K242" s="8">
        <v>2.1532135731616999</v>
      </c>
      <c r="L242" s="8">
        <v>0.11983740361040814</v>
      </c>
      <c r="M242" s="8">
        <v>0.21492394595561512</v>
      </c>
      <c r="N242" s="8">
        <v>100</v>
      </c>
      <c r="O242" s="8">
        <v>2.1623034845467073</v>
      </c>
    </row>
    <row r="243" spans="1:15" x14ac:dyDescent="0.2">
      <c r="B243" s="23" t="s">
        <v>214</v>
      </c>
      <c r="C243" s="8">
        <v>76.664011532126423</v>
      </c>
      <c r="D243" s="8">
        <v>0.4251252683001156</v>
      </c>
      <c r="E243" s="8">
        <v>12.661105447874343</v>
      </c>
      <c r="F243" s="8">
        <v>1.9502988003075674</v>
      </c>
      <c r="G243" s="8">
        <v>7.8601909050947077E-2</v>
      </c>
      <c r="H243" s="8">
        <v>0.47343394594650334</v>
      </c>
      <c r="I243" s="8">
        <v>1.8553389915487537</v>
      </c>
      <c r="J243" s="8">
        <v>3.6194623270710844</v>
      </c>
      <c r="K243" s="8">
        <v>2.0409275350948586</v>
      </c>
      <c r="L243" s="8">
        <v>0</v>
      </c>
      <c r="M243" s="8">
        <v>0.29934804675420745</v>
      </c>
      <c r="N243" s="8">
        <v>100</v>
      </c>
      <c r="O243" s="8">
        <v>1.1933170916602274</v>
      </c>
    </row>
    <row r="244" spans="1:15" x14ac:dyDescent="0.2">
      <c r="B244" s="23" t="s">
        <v>215</v>
      </c>
      <c r="C244" s="8">
        <v>76.862693507765329</v>
      </c>
      <c r="D244" s="8">
        <v>0.33394304590245333</v>
      </c>
      <c r="E244" s="8">
        <v>12.775322825125246</v>
      </c>
      <c r="F244" s="8">
        <v>1.7488428631645105</v>
      </c>
      <c r="G244" s="8">
        <v>3.7385902951099489E-2</v>
      </c>
      <c r="H244" s="8">
        <v>0.3024228410573751</v>
      </c>
      <c r="I244" s="8">
        <v>1.8102292645703271</v>
      </c>
      <c r="J244" s="8">
        <v>3.6082221390519345</v>
      </c>
      <c r="K244" s="8">
        <v>2.2607471823647889</v>
      </c>
      <c r="L244" s="8">
        <v>6.4030974602100471E-2</v>
      </c>
      <c r="M244" s="8">
        <v>0.25336381041846512</v>
      </c>
      <c r="N244" s="8">
        <v>100</v>
      </c>
      <c r="O244" s="8">
        <v>2.2254811087703446</v>
      </c>
    </row>
    <row r="245" spans="1:15" x14ac:dyDescent="0.2">
      <c r="B245" s="23" t="s">
        <v>216</v>
      </c>
      <c r="C245" s="8">
        <v>76.863914029452303</v>
      </c>
      <c r="D245" s="8">
        <v>0.3728654293299305</v>
      </c>
      <c r="E245" s="8">
        <v>12.661448160212361</v>
      </c>
      <c r="F245" s="8">
        <v>1.7761805871174905</v>
      </c>
      <c r="G245" s="8">
        <v>2.6295737063844637E-2</v>
      </c>
      <c r="H245" s="8">
        <v>0.35251415328959201</v>
      </c>
      <c r="I245" s="8">
        <v>1.8451789767259414</v>
      </c>
      <c r="J245" s="8">
        <v>3.6267405447869985</v>
      </c>
      <c r="K245" s="8">
        <v>2.2994657546879989</v>
      </c>
      <c r="L245" s="8">
        <v>4.7675491160000638E-2</v>
      </c>
      <c r="M245" s="8">
        <v>0.16483975188991321</v>
      </c>
      <c r="N245" s="8">
        <v>100</v>
      </c>
      <c r="O245" s="8">
        <v>1.5279423314464819</v>
      </c>
    </row>
    <row r="246" spans="1:15" x14ac:dyDescent="0.2">
      <c r="B246" s="23" t="s">
        <v>217</v>
      </c>
      <c r="C246" s="8">
        <v>76.880735061511928</v>
      </c>
      <c r="D246" s="8">
        <v>0.43282431322490017</v>
      </c>
      <c r="E246" s="8">
        <v>12.382350559028106</v>
      </c>
      <c r="F246" s="8">
        <v>2.0924738573393289</v>
      </c>
      <c r="G246" s="8">
        <v>7.5938112796060955E-2</v>
      </c>
      <c r="H246" s="8">
        <v>0.33795339147057285</v>
      </c>
      <c r="I246" s="8">
        <v>1.6966866350806404</v>
      </c>
      <c r="J246" s="8">
        <v>3.5071454088253384</v>
      </c>
      <c r="K246" s="8">
        <v>2.3208741772729424</v>
      </c>
      <c r="L246" s="8">
        <v>0.13943711125556255</v>
      </c>
      <c r="M246" s="8">
        <v>0.17259041844849626</v>
      </c>
      <c r="N246" s="8">
        <v>100</v>
      </c>
      <c r="O246" s="8">
        <v>1.9098339878694932</v>
      </c>
    </row>
    <row r="247" spans="1:15" x14ac:dyDescent="0.2">
      <c r="B247" s="23" t="s">
        <v>218</v>
      </c>
      <c r="C247" s="8">
        <v>76.995820460869425</v>
      </c>
      <c r="D247" s="8">
        <v>0.39166238191570329</v>
      </c>
      <c r="E247" s="8">
        <v>12.856257397747903</v>
      </c>
      <c r="F247" s="8">
        <v>1.7352899817197578</v>
      </c>
      <c r="G247" s="8">
        <v>3.4269921495937765E-2</v>
      </c>
      <c r="H247" s="8">
        <v>0.42311474294366802</v>
      </c>
      <c r="I247" s="8">
        <v>1.793144571800787</v>
      </c>
      <c r="J247" s="8">
        <v>3.4327909038055395</v>
      </c>
      <c r="K247" s="8">
        <v>2.1058170806477547</v>
      </c>
      <c r="L247" s="8">
        <v>6.4090040597628462E-2</v>
      </c>
      <c r="M247" s="8">
        <v>0.21658295845536196</v>
      </c>
      <c r="N247" s="8">
        <v>100</v>
      </c>
      <c r="O247" s="8">
        <v>2.2707973855912353</v>
      </c>
    </row>
    <row r="248" spans="1:15" x14ac:dyDescent="0.2">
      <c r="B248" s="23" t="s">
        <v>219</v>
      </c>
      <c r="C248" s="8">
        <v>77.232645000162464</v>
      </c>
      <c r="D248" s="8">
        <v>0.36621801357272887</v>
      </c>
      <c r="E248" s="8">
        <v>12.427629486790494</v>
      </c>
      <c r="F248" s="8">
        <v>1.7900057012959825</v>
      </c>
      <c r="G248" s="8">
        <v>5.071330981264139E-2</v>
      </c>
      <c r="H248" s="8">
        <v>0.38794146708891114</v>
      </c>
      <c r="I248" s="8">
        <v>1.7996316143479754</v>
      </c>
      <c r="J248" s="8">
        <v>3.4600157603488597</v>
      </c>
      <c r="K248" s="8">
        <v>2.2994417460917087</v>
      </c>
      <c r="L248" s="8">
        <v>0.10672945735067249</v>
      </c>
      <c r="M248" s="8">
        <v>0.1019801348773806</v>
      </c>
      <c r="N248" s="8">
        <v>100</v>
      </c>
      <c r="O248" s="8">
        <v>1.0064328645661695</v>
      </c>
    </row>
    <row r="249" spans="1:15" x14ac:dyDescent="0.2">
      <c r="B249" s="23" t="s">
        <v>220</v>
      </c>
      <c r="C249" s="8">
        <v>77.261393243238643</v>
      </c>
      <c r="D249" s="8">
        <v>0.37494693531167028</v>
      </c>
      <c r="E249" s="8">
        <v>12.734970821828517</v>
      </c>
      <c r="F249" s="8">
        <v>1.9079819159164106</v>
      </c>
      <c r="G249" s="8">
        <v>6.4036739299005663E-2</v>
      </c>
      <c r="H249" s="8">
        <v>0.37550849899636557</v>
      </c>
      <c r="I249" s="8">
        <v>1.9618694439048165</v>
      </c>
      <c r="J249" s="8">
        <v>2.9519462583841203</v>
      </c>
      <c r="K249" s="8">
        <v>2.1819983018067788</v>
      </c>
      <c r="L249" s="8">
        <v>0</v>
      </c>
      <c r="M249" s="8">
        <v>0.23934111164124641</v>
      </c>
      <c r="N249" s="8">
        <v>100</v>
      </c>
      <c r="O249" s="8">
        <v>2.6624652093844814</v>
      </c>
    </row>
    <row r="250" spans="1:15" x14ac:dyDescent="0.2">
      <c r="B250" s="23" t="s">
        <v>577</v>
      </c>
      <c r="C250" s="8">
        <v>77.296306649645288</v>
      </c>
      <c r="D250" s="8">
        <v>0.40971861293386275</v>
      </c>
      <c r="E250" s="8">
        <v>13.292222434418594</v>
      </c>
      <c r="F250" s="8">
        <v>2.2524681114184726</v>
      </c>
      <c r="G250" s="8">
        <v>6.0917474365843528E-2</v>
      </c>
      <c r="H250" s="8">
        <v>0.4961089338497835</v>
      </c>
      <c r="I250" s="8">
        <v>2.2622594450692368</v>
      </c>
      <c r="J250" s="8">
        <v>1.5394744729457561</v>
      </c>
      <c r="K250" s="8">
        <v>2.1206183200584436</v>
      </c>
      <c r="L250" s="8">
        <v>0.11235734786596308</v>
      </c>
      <c r="M250" s="8">
        <v>0.2034854439442064</v>
      </c>
      <c r="N250" s="8">
        <v>100</v>
      </c>
      <c r="O250" s="8">
        <v>2.5270539347036736</v>
      </c>
    </row>
    <row r="251" spans="1:15" x14ac:dyDescent="0.2">
      <c r="B251" s="24" t="s">
        <v>20</v>
      </c>
      <c r="C251" s="18">
        <f>AVERAGE(C225:C250)</f>
        <v>76.320434956338985</v>
      </c>
      <c r="D251" s="18">
        <f t="shared" ref="D251:O251" si="42">AVERAGE(D225:D250)</f>
        <v>0.40052388491816965</v>
      </c>
      <c r="E251" s="18">
        <f>AVERAGE(E225:E250)</f>
        <v>12.899615599367378</v>
      </c>
      <c r="F251" s="18">
        <f t="shared" si="42"/>
        <v>2.0295773678945563</v>
      </c>
      <c r="G251" s="18">
        <f t="shared" si="42"/>
        <v>6.3140363471642438E-2</v>
      </c>
      <c r="H251" s="18">
        <f t="shared" si="42"/>
        <v>0.44295153547330646</v>
      </c>
      <c r="I251" s="18">
        <f t="shared" si="42"/>
        <v>2.0400093686344785</v>
      </c>
      <c r="J251" s="18">
        <f t="shared" si="42"/>
        <v>3.3690340449657961</v>
      </c>
      <c r="K251" s="18">
        <f t="shared" si="42"/>
        <v>2.1893589071854791</v>
      </c>
      <c r="L251" s="18">
        <f t="shared" si="42"/>
        <v>6.3237186177001928E-2</v>
      </c>
      <c r="M251" s="18">
        <f t="shared" si="42"/>
        <v>0.23517760304133589</v>
      </c>
      <c r="N251" s="18">
        <f t="shared" si="42"/>
        <v>100</v>
      </c>
      <c r="O251" s="18">
        <f t="shared" si="42"/>
        <v>1.7691156853763028</v>
      </c>
    </row>
    <row r="252" spans="1:15" x14ac:dyDescent="0.2">
      <c r="B252" s="24" t="s">
        <v>21</v>
      </c>
      <c r="C252" s="18">
        <f t="shared" ref="C252:O252" si="43">STDEV(C225:C250)</f>
        <v>0.60317559909132834</v>
      </c>
      <c r="D252" s="18">
        <f t="shared" si="43"/>
        <v>4.6059935089601989E-2</v>
      </c>
      <c r="E252" s="18">
        <f t="shared" si="43"/>
        <v>0.26875715295566394</v>
      </c>
      <c r="F252" s="18">
        <f t="shared" si="43"/>
        <v>0.19313016053810711</v>
      </c>
      <c r="G252" s="18">
        <f t="shared" si="43"/>
        <v>1.8021259117872286E-2</v>
      </c>
      <c r="H252" s="18">
        <f t="shared" si="43"/>
        <v>6.6961558797533363E-2</v>
      </c>
      <c r="I252" s="18">
        <f t="shared" si="43"/>
        <v>0.26267094163303856</v>
      </c>
      <c r="J252" s="18">
        <f t="shared" si="43"/>
        <v>0.41684407213558211</v>
      </c>
      <c r="K252" s="18">
        <f t="shared" si="43"/>
        <v>0.16356375315971985</v>
      </c>
      <c r="L252" s="18">
        <f t="shared" si="43"/>
        <v>5.8785582136349594E-2</v>
      </c>
      <c r="M252" s="18">
        <f t="shared" si="43"/>
        <v>5.9238247457279056E-2</v>
      </c>
      <c r="N252" s="18">
        <f t="shared" si="43"/>
        <v>0</v>
      </c>
      <c r="O252" s="18">
        <f t="shared" si="43"/>
        <v>0.50604095324794773</v>
      </c>
    </row>
    <row r="253" spans="1:15" x14ac:dyDescent="0.2">
      <c r="B253" s="2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x14ac:dyDescent="0.2">
      <c r="A254" s="1" t="s">
        <v>76</v>
      </c>
      <c r="B254" s="23" t="s">
        <v>48</v>
      </c>
      <c r="C254" s="8">
        <v>74.394000000000005</v>
      </c>
      <c r="D254" s="8">
        <v>9.1896000000000005E-2</v>
      </c>
      <c r="E254" s="8">
        <v>13.107200000000001</v>
      </c>
      <c r="F254" s="8">
        <v>1.5995600000000001</v>
      </c>
      <c r="G254" s="8">
        <v>6.2435999999999998E-2</v>
      </c>
      <c r="H254" s="8">
        <v>5.5907999999999999E-2</v>
      </c>
      <c r="I254" s="8">
        <v>0.69095600000000001</v>
      </c>
      <c r="J254" s="8">
        <v>3.9291399999999999</v>
      </c>
      <c r="K254" s="8">
        <v>5.19252</v>
      </c>
      <c r="L254" s="8">
        <v>0</v>
      </c>
      <c r="M254" s="8">
        <v>0.35780299999999998</v>
      </c>
      <c r="N254" s="8">
        <v>99.400700000000001</v>
      </c>
      <c r="O254" s="8">
        <f t="shared" ref="O254:O257" si="44">100-N254</f>
        <v>0.5992999999999995</v>
      </c>
    </row>
    <row r="255" spans="1:15" x14ac:dyDescent="0.2">
      <c r="B255" s="23" t="s">
        <v>49</v>
      </c>
      <c r="C255" s="8">
        <v>74.713300000000004</v>
      </c>
      <c r="D255" s="8">
        <v>9.4909999999999994E-2</v>
      </c>
      <c r="E255" s="8">
        <v>13.087300000000001</v>
      </c>
      <c r="F255" s="8">
        <v>1.62019</v>
      </c>
      <c r="G255" s="8">
        <v>5.3312999999999999E-2</v>
      </c>
      <c r="H255" s="8">
        <v>4.8656999999999999E-2</v>
      </c>
      <c r="I255" s="8">
        <v>0.70291599999999999</v>
      </c>
      <c r="J255" s="8">
        <v>3.8803800000000002</v>
      </c>
      <c r="K255" s="8">
        <v>5.17354</v>
      </c>
      <c r="L255" s="8">
        <v>5.0571999999999999E-2</v>
      </c>
      <c r="M255" s="8">
        <v>0.38065500000000002</v>
      </c>
      <c r="N255" s="8">
        <v>99.719800000000006</v>
      </c>
      <c r="O255" s="8">
        <f t="shared" si="44"/>
        <v>0.28019999999999357</v>
      </c>
    </row>
    <row r="256" spans="1:15" x14ac:dyDescent="0.2">
      <c r="B256" s="23" t="s">
        <v>50</v>
      </c>
      <c r="C256" s="8">
        <v>74.506799999999998</v>
      </c>
      <c r="D256" s="8">
        <v>4.9533000000000001E-2</v>
      </c>
      <c r="E256" s="8">
        <v>13.222099999999999</v>
      </c>
      <c r="F256" s="8">
        <v>1.5272300000000001</v>
      </c>
      <c r="G256" s="8">
        <v>6.5511E-2</v>
      </c>
      <c r="H256" s="8">
        <v>1.1697000000000001E-2</v>
      </c>
      <c r="I256" s="8">
        <v>0.69853299999999996</v>
      </c>
      <c r="J256" s="8">
        <v>4.0184199999999999</v>
      </c>
      <c r="K256" s="8">
        <v>5.1984300000000001</v>
      </c>
      <c r="L256" s="8">
        <v>0</v>
      </c>
      <c r="M256" s="8">
        <v>0.31966299999999997</v>
      </c>
      <c r="N256" s="8">
        <v>99.5458</v>
      </c>
      <c r="O256" s="8">
        <f t="shared" si="44"/>
        <v>0.45420000000000016</v>
      </c>
    </row>
    <row r="257" spans="1:29" x14ac:dyDescent="0.2">
      <c r="B257" s="23" t="s">
        <v>62</v>
      </c>
      <c r="C257" s="8">
        <v>74.411000000000001</v>
      </c>
      <c r="D257" s="8">
        <v>4.7216000000000001E-2</v>
      </c>
      <c r="E257" s="8">
        <v>13.072900000000001</v>
      </c>
      <c r="F257" s="8">
        <v>1.58805</v>
      </c>
      <c r="G257" s="8">
        <v>4.7230000000000001E-2</v>
      </c>
      <c r="H257" s="8">
        <v>4.3146999999999998E-2</v>
      </c>
      <c r="I257" s="8">
        <v>0.72557899999999997</v>
      </c>
      <c r="J257" s="8">
        <v>3.9810300000000001</v>
      </c>
      <c r="K257" s="8">
        <v>5.19956</v>
      </c>
      <c r="L257" s="8">
        <v>7.783E-3</v>
      </c>
      <c r="M257" s="8">
        <v>0.324436</v>
      </c>
      <c r="N257" s="8">
        <v>99.374700000000004</v>
      </c>
      <c r="O257" s="8">
        <f t="shared" si="44"/>
        <v>0.62529999999999575</v>
      </c>
    </row>
    <row r="258" spans="1:29" x14ac:dyDescent="0.2">
      <c r="B258" s="24" t="s">
        <v>20</v>
      </c>
      <c r="C258" s="18">
        <f>AVERAGE(C254:C257)</f>
        <v>74.506275000000002</v>
      </c>
      <c r="D258" s="18">
        <f>AVERAGE(D254:D257)</f>
        <v>7.088875E-2</v>
      </c>
      <c r="E258" s="18">
        <f t="shared" ref="E258:F258" si="45">AVERAGE(E254:E257)</f>
        <v>13.122375000000002</v>
      </c>
      <c r="F258" s="18">
        <f t="shared" si="45"/>
        <v>1.5837575000000002</v>
      </c>
      <c r="G258" s="18">
        <f>AVERAGE(G254:G257)</f>
        <v>5.7122499999999993E-2</v>
      </c>
      <c r="H258" s="18">
        <f t="shared" ref="H258" si="46">AVERAGE(H254:H257)</f>
        <v>3.9852249999999999E-2</v>
      </c>
      <c r="I258" s="18">
        <f>AVERAGE(I254:I257)</f>
        <v>0.70449600000000001</v>
      </c>
      <c r="J258" s="18">
        <f t="shared" ref="J258:O258" si="47">AVERAGE(J254:J257)</f>
        <v>3.9522425000000001</v>
      </c>
      <c r="K258" s="18">
        <f t="shared" si="47"/>
        <v>5.1910125000000003</v>
      </c>
      <c r="L258" s="18">
        <f t="shared" si="47"/>
        <v>1.4588749999999999E-2</v>
      </c>
      <c r="M258" s="18">
        <f t="shared" si="47"/>
        <v>0.34563925000000001</v>
      </c>
      <c r="N258" s="18">
        <f t="shared" si="47"/>
        <v>99.510249999999999</v>
      </c>
      <c r="O258" s="18">
        <f t="shared" si="47"/>
        <v>0.48974999999999724</v>
      </c>
    </row>
    <row r="259" spans="1:29" x14ac:dyDescent="0.2">
      <c r="B259" s="24" t="s">
        <v>21</v>
      </c>
      <c r="C259" s="18">
        <f>STDEV(C254:C257)</f>
        <v>0.14667722783945264</v>
      </c>
      <c r="D259" s="18">
        <f t="shared" ref="D259:F259" si="48">STDEV(D254:D257)</f>
        <v>2.6043503058984455E-2</v>
      </c>
      <c r="E259" s="18">
        <f t="shared" si="48"/>
        <v>6.7954365815105944E-2</v>
      </c>
      <c r="F259" s="18">
        <f t="shared" si="48"/>
        <v>3.9961772879423964E-2</v>
      </c>
      <c r="G259" s="18">
        <f>STDEV(G254:G257)</f>
        <v>8.3859815764167379E-3</v>
      </c>
      <c r="H259" s="18">
        <f t="shared" ref="H259" si="49">STDEV(H254:H257)</f>
        <v>1.9484046557376112E-2</v>
      </c>
      <c r="I259" s="18">
        <f>STDEV(I254:I257)</f>
        <v>1.4898302565505004E-2</v>
      </c>
      <c r="J259" s="18">
        <f>STDEV(J254:J257)</f>
        <v>6.0294073990180191E-2</v>
      </c>
      <c r="K259" s="18">
        <f t="shared" ref="K259:O259" si="50">STDEV(K254:K257)</f>
        <v>1.2050447778678877E-2</v>
      </c>
      <c r="L259" s="18">
        <f t="shared" si="50"/>
        <v>2.4267782255149174E-2</v>
      </c>
      <c r="M259" s="18">
        <f t="shared" si="50"/>
        <v>2.8858291337441784E-2</v>
      </c>
      <c r="N259" s="18">
        <f t="shared" si="50"/>
        <v>0.15869258541805645</v>
      </c>
      <c r="O259" s="18">
        <f t="shared" si="50"/>
        <v>0.15869258541805639</v>
      </c>
    </row>
    <row r="260" spans="1:29" x14ac:dyDescent="0.2">
      <c r="B260" s="23"/>
    </row>
    <row r="261" spans="1:29" x14ac:dyDescent="0.2">
      <c r="A261" s="1" t="s">
        <v>76</v>
      </c>
      <c r="B261" s="23" t="s">
        <v>54</v>
      </c>
      <c r="C261" s="8">
        <v>75.66439484896776</v>
      </c>
      <c r="D261" s="8">
        <v>0.30555461423432423</v>
      </c>
      <c r="E261" s="8">
        <v>12.974508578227537</v>
      </c>
      <c r="F261" s="8">
        <v>1.7743279414699373</v>
      </c>
      <c r="G261" s="8">
        <v>0.10593027405324425</v>
      </c>
      <c r="H261" s="8">
        <v>0.30952928141836811</v>
      </c>
      <c r="I261" s="8">
        <v>1.409388770793008</v>
      </c>
      <c r="J261" s="8">
        <v>3.6183785155368029</v>
      </c>
      <c r="K261" s="8">
        <v>3.6018035725302733</v>
      </c>
      <c r="L261" s="8">
        <v>4.0481031017448862E-2</v>
      </c>
      <c r="M261" s="8">
        <v>0.25275543408386258</v>
      </c>
      <c r="N261" s="8">
        <v>100</v>
      </c>
      <c r="O261" s="8">
        <v>3.723047600309668</v>
      </c>
    </row>
    <row r="262" spans="1:29" x14ac:dyDescent="0.2">
      <c r="B262" s="23" t="s">
        <v>55</v>
      </c>
      <c r="C262" s="8">
        <v>75.621153709755774</v>
      </c>
      <c r="D262" s="8">
        <v>0.3509630230280068</v>
      </c>
      <c r="E262" s="8">
        <v>13.019668847029401</v>
      </c>
      <c r="F262" s="8">
        <v>1.7250535263201188</v>
      </c>
      <c r="G262" s="8">
        <v>7.6657642706633666E-2</v>
      </c>
      <c r="H262" s="8">
        <v>0.29422101455031352</v>
      </c>
      <c r="I262" s="8">
        <v>1.474501998923772</v>
      </c>
      <c r="J262" s="8">
        <v>3.4055980834292128</v>
      </c>
      <c r="K262" s="8">
        <v>3.8024021633333565</v>
      </c>
      <c r="L262" s="8">
        <v>0</v>
      </c>
      <c r="M262" s="8">
        <v>0.29673022436633739</v>
      </c>
      <c r="N262" s="8">
        <v>100</v>
      </c>
      <c r="O262" s="8">
        <v>2.6261683445347415</v>
      </c>
      <c r="P262" s="21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x14ac:dyDescent="0.2">
      <c r="B263" s="23" t="s">
        <v>56</v>
      </c>
      <c r="C263" s="8">
        <v>75.623546632234337</v>
      </c>
      <c r="D263" s="8">
        <v>0.30630445560444508</v>
      </c>
      <c r="E263" s="8">
        <v>13.203755394387711</v>
      </c>
      <c r="F263" s="8">
        <v>1.7292534138917408</v>
      </c>
      <c r="G263" s="8">
        <v>8.128830514276103E-2</v>
      </c>
      <c r="H263" s="8">
        <v>0.31653816595217088</v>
      </c>
      <c r="I263" s="8">
        <v>1.4198057547208029</v>
      </c>
      <c r="J263" s="8">
        <v>3.2763348632610754</v>
      </c>
      <c r="K263" s="8">
        <v>3.674965434004255</v>
      </c>
      <c r="L263" s="8">
        <v>0.14275853403943575</v>
      </c>
      <c r="M263" s="8">
        <v>0.29116772412455555</v>
      </c>
      <c r="N263" s="8">
        <v>100</v>
      </c>
      <c r="O263" s="8">
        <v>4.5643235692835518</v>
      </c>
      <c r="P263" s="21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x14ac:dyDescent="0.2">
      <c r="B264" s="23" t="s">
        <v>67</v>
      </c>
      <c r="C264" s="8">
        <v>75.463156700991107</v>
      </c>
      <c r="D264" s="8">
        <v>0.34333011647742606</v>
      </c>
      <c r="E264" s="8">
        <v>13.305724567431618</v>
      </c>
      <c r="F264" s="8">
        <v>1.7260853189814334</v>
      </c>
      <c r="G264" s="8">
        <v>3.7904740759977927E-2</v>
      </c>
      <c r="H264" s="8">
        <v>0.3211748058653679</v>
      </c>
      <c r="I264" s="8">
        <v>1.4233758624966779</v>
      </c>
      <c r="J264" s="8">
        <v>3.4845316290490915</v>
      </c>
      <c r="K264" s="8">
        <v>3.579283118800114</v>
      </c>
      <c r="L264" s="8">
        <v>9.2969200136282654E-2</v>
      </c>
      <c r="M264" s="8">
        <v>0.2872833253832302</v>
      </c>
      <c r="N264" s="8">
        <v>100</v>
      </c>
      <c r="O264" s="8">
        <v>3.6214892290265928</v>
      </c>
      <c r="P264" s="21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x14ac:dyDescent="0.2">
      <c r="B265" s="24" t="s">
        <v>20</v>
      </c>
      <c r="C265" s="18">
        <f>AVERAGE(C261:C264)</f>
        <v>75.593062972987241</v>
      </c>
      <c r="D265" s="18">
        <f t="shared" ref="D265:O265" si="51">AVERAGE(D261:D264)</f>
        <v>0.32653805233605054</v>
      </c>
      <c r="E265" s="18">
        <f t="shared" si="51"/>
        <v>13.125914346769067</v>
      </c>
      <c r="F265" s="18">
        <f t="shared" si="51"/>
        <v>1.7386800501658077</v>
      </c>
      <c r="G265" s="18">
        <f t="shared" si="51"/>
        <v>7.5445240665654209E-2</v>
      </c>
      <c r="H265" s="18">
        <f t="shared" si="51"/>
        <v>0.31036581694655507</v>
      </c>
      <c r="I265" s="18">
        <f t="shared" si="51"/>
        <v>1.4317680967335653</v>
      </c>
      <c r="J265" s="18">
        <f t="shared" si="51"/>
        <v>3.4462107728190459</v>
      </c>
      <c r="K265" s="18">
        <f t="shared" si="51"/>
        <v>3.6646135721669992</v>
      </c>
      <c r="L265" s="18">
        <f t="shared" si="51"/>
        <v>6.9052191298291821E-2</v>
      </c>
      <c r="M265" s="18">
        <f t="shared" si="51"/>
        <v>0.2819841769894964</v>
      </c>
      <c r="N265" s="18">
        <f t="shared" si="51"/>
        <v>100</v>
      </c>
      <c r="O265" s="18">
        <f t="shared" si="51"/>
        <v>3.6337571857886388</v>
      </c>
      <c r="P265" s="21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x14ac:dyDescent="0.2">
      <c r="B266" s="24" t="s">
        <v>21</v>
      </c>
      <c r="C266" s="18">
        <f t="shared" ref="C266:O266" si="52">STDEV(C261:C264)</f>
        <v>8.8848595952376236E-2</v>
      </c>
      <c r="D266" s="18">
        <f t="shared" si="52"/>
        <v>2.4001775786367741E-2</v>
      </c>
      <c r="E266" s="18">
        <f t="shared" si="52"/>
        <v>0.15556644573050449</v>
      </c>
      <c r="F266" s="18">
        <f t="shared" si="52"/>
        <v>2.3832352182124025E-2</v>
      </c>
      <c r="G266" s="18">
        <f t="shared" si="52"/>
        <v>2.8132055944557637E-2</v>
      </c>
      <c r="H266" s="18">
        <f t="shared" si="52"/>
        <v>1.1779736411846558E-2</v>
      </c>
      <c r="I266" s="18">
        <f t="shared" si="52"/>
        <v>2.9100674951353156E-2</v>
      </c>
      <c r="J266" s="18">
        <f t="shared" si="52"/>
        <v>0.14331484552359353</v>
      </c>
      <c r="K266" s="18">
        <f t="shared" si="52"/>
        <v>0.10053065738912825</v>
      </c>
      <c r="L266" s="18">
        <f t="shared" si="52"/>
        <v>6.2153478301489061E-2</v>
      </c>
      <c r="M266" s="18">
        <f t="shared" si="52"/>
        <v>1.9867761463942389E-2</v>
      </c>
      <c r="N266" s="18">
        <f t="shared" si="52"/>
        <v>0</v>
      </c>
      <c r="O266" s="18">
        <f t="shared" si="52"/>
        <v>0.79358098683512213</v>
      </c>
    </row>
    <row r="267" spans="1:29" x14ac:dyDescent="0.2">
      <c r="B267" s="2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29" x14ac:dyDescent="0.2">
      <c r="A268" s="1" t="s">
        <v>76</v>
      </c>
      <c r="B268" s="23" t="s">
        <v>221</v>
      </c>
      <c r="C268" s="8">
        <v>74.421817137996428</v>
      </c>
      <c r="D268" s="8">
        <v>0.32042361449663964</v>
      </c>
      <c r="E268" s="8">
        <v>14.466725463918003</v>
      </c>
      <c r="F268" s="8">
        <v>1.5316138226565505</v>
      </c>
      <c r="G268" s="8">
        <v>3.6164751227446709E-2</v>
      </c>
      <c r="H268" s="8">
        <v>0.25431028313952347</v>
      </c>
      <c r="I268" s="8">
        <v>2.984226174211456</v>
      </c>
      <c r="J268" s="8">
        <v>4.1198426738325971</v>
      </c>
      <c r="K268" s="8">
        <v>1.612595228812564</v>
      </c>
      <c r="L268" s="8">
        <v>0.12085441074570415</v>
      </c>
      <c r="M268" s="8">
        <v>0.16982583563992193</v>
      </c>
      <c r="N268" s="8">
        <v>100</v>
      </c>
      <c r="O268" s="8">
        <v>3.1216174150177114</v>
      </c>
      <c r="P268" s="1" t="s">
        <v>82</v>
      </c>
    </row>
    <row r="269" spans="1:29" x14ac:dyDescent="0.2">
      <c r="B269" s="23" t="s">
        <v>222</v>
      </c>
      <c r="C269" s="8">
        <v>75.067684335291602</v>
      </c>
      <c r="D269" s="8">
        <v>0.30431138315855771</v>
      </c>
      <c r="E269" s="8">
        <v>14.13136137200633</v>
      </c>
      <c r="F269" s="8">
        <v>1.4018522317548514</v>
      </c>
      <c r="G269" s="8">
        <v>3.3658134670585801E-2</v>
      </c>
      <c r="H269" s="8">
        <v>0.28827419523210435</v>
      </c>
      <c r="I269" s="8">
        <v>2.6687991050690258</v>
      </c>
      <c r="J269" s="8">
        <v>4.1698393732268402</v>
      </c>
      <c r="K269" s="8">
        <v>1.7973506100949499</v>
      </c>
      <c r="L269" s="8">
        <v>0</v>
      </c>
      <c r="M269" s="8">
        <v>0.17731679469573683</v>
      </c>
      <c r="N269" s="8">
        <v>100</v>
      </c>
      <c r="O269" s="8">
        <v>0.30138174028013726</v>
      </c>
    </row>
    <row r="270" spans="1:29" x14ac:dyDescent="0.2">
      <c r="B270" s="23" t="s">
        <v>223</v>
      </c>
      <c r="C270" s="8">
        <v>75.511556961039773</v>
      </c>
      <c r="D270" s="8">
        <v>0.39400288820253232</v>
      </c>
      <c r="E270" s="8">
        <v>13.109312764063199</v>
      </c>
      <c r="F270" s="8">
        <v>1.9507511129157193</v>
      </c>
      <c r="G270" s="8">
        <v>5.8194946274294564E-2</v>
      </c>
      <c r="H270" s="8">
        <v>0.31826494860969728</v>
      </c>
      <c r="I270" s="8">
        <v>2.0814844976529239</v>
      </c>
      <c r="J270" s="8">
        <v>4.0812631420162084</v>
      </c>
      <c r="K270" s="8">
        <v>2.2163277943315207</v>
      </c>
      <c r="L270" s="8">
        <v>0.10204238088619248</v>
      </c>
      <c r="M270" s="8">
        <v>0.22823376025051328</v>
      </c>
      <c r="N270" s="8">
        <v>100</v>
      </c>
      <c r="O270" s="8">
        <v>0.48684453282435314</v>
      </c>
    </row>
    <row r="271" spans="1:29" x14ac:dyDescent="0.2">
      <c r="B271" s="23" t="s">
        <v>224</v>
      </c>
      <c r="C271" s="8">
        <v>75.623115036657083</v>
      </c>
      <c r="D271" s="8">
        <v>0.27070833530895644</v>
      </c>
      <c r="E271" s="8">
        <v>13.826287401950449</v>
      </c>
      <c r="F271" s="8">
        <v>1.1948600892374086</v>
      </c>
      <c r="G271" s="8">
        <v>1.084227898712577E-2</v>
      </c>
      <c r="H271" s="8">
        <v>0.1798725773374551</v>
      </c>
      <c r="I271" s="8">
        <v>2.7932905180404823</v>
      </c>
      <c r="J271" s="8">
        <v>4.3533300767713623</v>
      </c>
      <c r="K271" s="8">
        <v>1.6013898094950165</v>
      </c>
      <c r="L271" s="8">
        <v>3.5704117259062799E-2</v>
      </c>
      <c r="M271" s="8">
        <v>0.14286917033624469</v>
      </c>
      <c r="N271" s="8">
        <v>100</v>
      </c>
      <c r="O271" s="8">
        <v>1.3486538336676985</v>
      </c>
    </row>
    <row r="272" spans="1:29" x14ac:dyDescent="0.2">
      <c r="B272" s="23" t="s">
        <v>225</v>
      </c>
      <c r="C272" s="8">
        <v>76.084954865070515</v>
      </c>
      <c r="D272" s="8">
        <v>0.42082550946653008</v>
      </c>
      <c r="E272" s="8">
        <v>12.904245613041901</v>
      </c>
      <c r="F272" s="8">
        <v>2.0100306646075969</v>
      </c>
      <c r="G272" s="8">
        <v>1.2541113335072653E-2</v>
      </c>
      <c r="H272" s="8">
        <v>0.34242017461037411</v>
      </c>
      <c r="I272" s="8">
        <v>2.0225152632983905</v>
      </c>
      <c r="J272" s="8">
        <v>3.6909611424919602</v>
      </c>
      <c r="K272" s="8">
        <v>2.3163605873812032</v>
      </c>
      <c r="L272" s="8">
        <v>4.015314099095732E-2</v>
      </c>
      <c r="M272" s="8">
        <v>0.20018720050516381</v>
      </c>
      <c r="N272" s="8">
        <v>100</v>
      </c>
      <c r="O272" s="8">
        <v>2.753898689657134</v>
      </c>
    </row>
    <row r="273" spans="2:15" x14ac:dyDescent="0.2">
      <c r="B273" s="23" t="s">
        <v>226</v>
      </c>
      <c r="C273" s="8">
        <v>76.28767483140939</v>
      </c>
      <c r="D273" s="8">
        <v>0.37558836573292187</v>
      </c>
      <c r="E273" s="8">
        <v>12.78259272398461</v>
      </c>
      <c r="F273" s="8">
        <v>2.0507224650398808</v>
      </c>
      <c r="G273" s="8">
        <v>7.242815465724628E-2</v>
      </c>
      <c r="H273" s="8">
        <v>0.4251924116344224</v>
      </c>
      <c r="I273" s="8">
        <v>1.979905756959091</v>
      </c>
      <c r="J273" s="8">
        <v>3.5423012745136804</v>
      </c>
      <c r="K273" s="8">
        <v>2.1353385744811675</v>
      </c>
      <c r="L273" s="8">
        <v>0.11859397608790076</v>
      </c>
      <c r="M273" s="8">
        <v>0.29669420586675721</v>
      </c>
      <c r="N273" s="8">
        <v>100</v>
      </c>
      <c r="O273" s="8">
        <v>1.0945154615128749</v>
      </c>
    </row>
    <row r="274" spans="2:15" x14ac:dyDescent="0.2">
      <c r="B274" s="23" t="s">
        <v>227</v>
      </c>
      <c r="C274" s="8">
        <v>76.465816628586538</v>
      </c>
      <c r="D274" s="8">
        <v>0.38507280434890229</v>
      </c>
      <c r="E274" s="8">
        <v>12.546419589217578</v>
      </c>
      <c r="F274" s="8">
        <v>1.9012461599574677</v>
      </c>
      <c r="G274" s="8">
        <v>4.2996603577211169E-2</v>
      </c>
      <c r="H274" s="8">
        <v>0.40531188611137164</v>
      </c>
      <c r="I274" s="8">
        <v>1.8772490384046512</v>
      </c>
      <c r="J274" s="8">
        <v>3.9475114029089542</v>
      </c>
      <c r="K274" s="8">
        <v>2.2809238881736147</v>
      </c>
      <c r="L274" s="8">
        <v>2.3623832995327759E-2</v>
      </c>
      <c r="M274" s="8">
        <v>0.15987918732163148</v>
      </c>
      <c r="N274" s="8">
        <v>100</v>
      </c>
      <c r="O274" s="8">
        <v>0.61686185667088866</v>
      </c>
    </row>
    <row r="275" spans="2:15" x14ac:dyDescent="0.2">
      <c r="B275" s="23" t="s">
        <v>228</v>
      </c>
      <c r="C275" s="8">
        <v>76.638115723925111</v>
      </c>
      <c r="D275" s="8">
        <v>0.40457125819774575</v>
      </c>
      <c r="E275" s="8">
        <v>12.337858539820205</v>
      </c>
      <c r="F275" s="8">
        <v>1.9162690060371763</v>
      </c>
      <c r="G275" s="8">
        <v>3.4053167022866163E-2</v>
      </c>
      <c r="H275" s="8">
        <v>0.40840272120961035</v>
      </c>
      <c r="I275" s="8">
        <v>1.9105289105773686</v>
      </c>
      <c r="J275" s="8">
        <v>3.442617181263953</v>
      </c>
      <c r="K275" s="8">
        <v>2.7009076025563652</v>
      </c>
      <c r="L275" s="8">
        <v>1.5856253094362754E-2</v>
      </c>
      <c r="M275" s="8">
        <v>0.24638193487411986</v>
      </c>
      <c r="N275" s="8">
        <v>100</v>
      </c>
      <c r="O275" s="8">
        <v>1.4151141308778505</v>
      </c>
    </row>
    <row r="276" spans="2:15" x14ac:dyDescent="0.2">
      <c r="B276" s="23" t="s">
        <v>229</v>
      </c>
      <c r="C276" s="8">
        <v>76.642144367953662</v>
      </c>
      <c r="D276" s="8">
        <v>0.32071599357305625</v>
      </c>
      <c r="E276" s="8">
        <v>12.770902003336888</v>
      </c>
      <c r="F276" s="8">
        <v>2.0207596361175901</v>
      </c>
      <c r="G276" s="8">
        <v>4.2012984624738847E-2</v>
      </c>
      <c r="H276" s="8">
        <v>0.41190609748324969</v>
      </c>
      <c r="I276" s="8">
        <v>1.9161661283750802</v>
      </c>
      <c r="J276" s="8">
        <v>3.2784644108019498</v>
      </c>
      <c r="K276" s="8">
        <v>2.1983623930670522</v>
      </c>
      <c r="L276" s="8">
        <v>0.16762727619931761</v>
      </c>
      <c r="M276" s="8">
        <v>0.29837528581446915</v>
      </c>
      <c r="N276" s="8">
        <v>100</v>
      </c>
      <c r="O276" s="8">
        <v>2.0822835667675337</v>
      </c>
    </row>
    <row r="277" spans="2:15" x14ac:dyDescent="0.2">
      <c r="B277" s="23" t="s">
        <v>230</v>
      </c>
      <c r="C277" s="8">
        <v>76.673132139897803</v>
      </c>
      <c r="D277" s="8">
        <v>0.32885466074934638</v>
      </c>
      <c r="E277" s="8">
        <v>12.664518031810873</v>
      </c>
      <c r="F277" s="8">
        <v>2.0038675278511149</v>
      </c>
      <c r="G277" s="8">
        <v>2.9322448242815012E-2</v>
      </c>
      <c r="H277" s="8">
        <v>0.41389370551356541</v>
      </c>
      <c r="I277" s="8">
        <v>2.0017636024882166</v>
      </c>
      <c r="J277" s="8">
        <v>3.3832940540043639</v>
      </c>
      <c r="K277" s="8">
        <v>2.307257611191345</v>
      </c>
      <c r="L277" s="8">
        <v>1.9783978929291072E-2</v>
      </c>
      <c r="M277" s="8">
        <v>0.22517766947706888</v>
      </c>
      <c r="N277" s="8">
        <v>100</v>
      </c>
      <c r="O277" s="8">
        <v>1.1502578316430818</v>
      </c>
    </row>
    <row r="278" spans="2:15" x14ac:dyDescent="0.2">
      <c r="B278" s="23" t="s">
        <v>231</v>
      </c>
      <c r="C278" s="8">
        <v>76.673336786796369</v>
      </c>
      <c r="D278" s="8">
        <v>0.30983969011234391</v>
      </c>
      <c r="E278" s="8">
        <v>12.837537194694502</v>
      </c>
      <c r="F278" s="8">
        <v>1.9359922712639854</v>
      </c>
      <c r="G278" s="8">
        <v>1.0939447306644848E-2</v>
      </c>
      <c r="H278" s="8">
        <v>0.46608765516412082</v>
      </c>
      <c r="I278" s="8">
        <v>2.0490028365668285</v>
      </c>
      <c r="J278" s="8">
        <v>3.4672383092356736</v>
      </c>
      <c r="K278" s="8">
        <v>2.080113522464647</v>
      </c>
      <c r="L278" s="8">
        <v>0</v>
      </c>
      <c r="M278" s="8">
        <v>0.2194353354250117</v>
      </c>
      <c r="N278" s="8">
        <v>100</v>
      </c>
      <c r="O278" s="8">
        <v>2.4388735522506715</v>
      </c>
    </row>
    <row r="279" spans="2:15" x14ac:dyDescent="0.2">
      <c r="B279" s="23" t="s">
        <v>232</v>
      </c>
      <c r="C279" s="8">
        <v>76.67533613929082</v>
      </c>
      <c r="D279" s="8">
        <v>0.44357439983735036</v>
      </c>
      <c r="E279" s="8">
        <v>12.67497346936949</v>
      </c>
      <c r="F279" s="8">
        <v>1.5357847584347042</v>
      </c>
      <c r="G279" s="8">
        <v>2.3189536860207978E-2</v>
      </c>
      <c r="H279" s="8">
        <v>0.15332200824311928</v>
      </c>
      <c r="I279" s="8">
        <v>1.8556900759003638</v>
      </c>
      <c r="J279" s="8">
        <v>4.0535667256130985</v>
      </c>
      <c r="K279" s="8">
        <v>2.454820691851086</v>
      </c>
      <c r="L279" s="8">
        <v>2.774513131071395E-2</v>
      </c>
      <c r="M279" s="8">
        <v>0.13166620845536692</v>
      </c>
      <c r="N279" s="8">
        <v>100</v>
      </c>
      <c r="O279" s="8">
        <v>1.3705930241649744</v>
      </c>
    </row>
    <row r="280" spans="2:15" x14ac:dyDescent="0.2">
      <c r="B280" s="23" t="s">
        <v>233</v>
      </c>
      <c r="C280" s="8">
        <v>76.812865166903492</v>
      </c>
      <c r="D280" s="8">
        <v>0.38612453530805141</v>
      </c>
      <c r="E280" s="8">
        <v>12.59202671339186</v>
      </c>
      <c r="F280" s="8">
        <v>1.7087242894278283</v>
      </c>
      <c r="G280" s="8">
        <v>8.3363234347923892E-2</v>
      </c>
      <c r="H280" s="8">
        <v>0.3048863710940164</v>
      </c>
      <c r="I280" s="8">
        <v>1.934714018135488</v>
      </c>
      <c r="J280" s="8">
        <v>3.5917124214866494</v>
      </c>
      <c r="K280" s="8">
        <v>2.3070615042794747</v>
      </c>
      <c r="L280" s="8">
        <v>0.1266373898016612</v>
      </c>
      <c r="M280" s="8">
        <v>0.19604050135666054</v>
      </c>
      <c r="N280" s="8">
        <v>100</v>
      </c>
      <c r="O280" s="8">
        <v>1.1456513036118872</v>
      </c>
    </row>
    <row r="281" spans="2:15" x14ac:dyDescent="0.2">
      <c r="B281" s="23" t="s">
        <v>234</v>
      </c>
      <c r="C281" s="8">
        <v>76.821960090813647</v>
      </c>
      <c r="D281" s="8">
        <v>0.42651660521201545</v>
      </c>
      <c r="E281" s="8">
        <v>12.740702056528313</v>
      </c>
      <c r="F281" s="8">
        <v>1.8176779582654332</v>
      </c>
      <c r="G281" s="8">
        <v>5.1088230410173505E-2</v>
      </c>
      <c r="H281" s="8">
        <v>0.39546751145897668</v>
      </c>
      <c r="I281" s="8">
        <v>1.6907539551727444</v>
      </c>
      <c r="J281" s="8">
        <v>3.2623162457846702</v>
      </c>
      <c r="K281" s="8">
        <v>2.6129317256442315</v>
      </c>
      <c r="L281" s="8">
        <v>1.9838217624416878E-2</v>
      </c>
      <c r="M281" s="8">
        <v>0.20751181532175847</v>
      </c>
      <c r="N281" s="8">
        <v>100</v>
      </c>
      <c r="O281" s="8">
        <v>1.4742589484239179</v>
      </c>
    </row>
    <row r="282" spans="2:15" x14ac:dyDescent="0.2">
      <c r="B282" s="23" t="s">
        <v>235</v>
      </c>
      <c r="C282" s="8">
        <v>76.841824689052999</v>
      </c>
      <c r="D282" s="8">
        <v>0.30626209241906299</v>
      </c>
      <c r="E282" s="8">
        <v>12.674352177500495</v>
      </c>
      <c r="F282" s="8">
        <v>1.9181517924481812</v>
      </c>
      <c r="G282" s="8">
        <v>3.234700743351538E-2</v>
      </c>
      <c r="H282" s="8">
        <v>0.37639052570367382</v>
      </c>
      <c r="I282" s="8">
        <v>1.9534219959647314</v>
      </c>
      <c r="J282" s="8">
        <v>3.4193114306956804</v>
      </c>
      <c r="K282" s="8">
        <v>2.2332814178555735</v>
      </c>
      <c r="L282" s="8">
        <v>5.9258586709870983E-2</v>
      </c>
      <c r="M282" s="8">
        <v>0.23940218615372127</v>
      </c>
      <c r="N282" s="8">
        <v>100</v>
      </c>
      <c r="O282" s="8">
        <v>0.97395796321328909</v>
      </c>
    </row>
    <row r="283" spans="2:15" x14ac:dyDescent="0.2">
      <c r="B283" s="23" t="s">
        <v>236</v>
      </c>
      <c r="C283" s="8">
        <v>76.918980350427887</v>
      </c>
      <c r="D283" s="8">
        <v>0.34557020607322059</v>
      </c>
      <c r="E283" s="8">
        <v>12.409178639015881</v>
      </c>
      <c r="F283" s="8">
        <v>1.9728683561667186</v>
      </c>
      <c r="G283" s="8">
        <v>9.2536578395583893E-2</v>
      </c>
      <c r="H283" s="8">
        <v>0.37122702683715236</v>
      </c>
      <c r="I283" s="8">
        <v>1.7395334596983687</v>
      </c>
      <c r="J283" s="8">
        <v>3.6172929780184311</v>
      </c>
      <c r="K283" s="8">
        <v>2.3704757149824038</v>
      </c>
      <c r="L283" s="8">
        <v>4.3542220369630555E-2</v>
      </c>
      <c r="M283" s="8">
        <v>0.15335300847773972</v>
      </c>
      <c r="N283" s="8">
        <v>100</v>
      </c>
      <c r="O283" s="8">
        <v>1.1903796644911724</v>
      </c>
    </row>
    <row r="284" spans="2:15" x14ac:dyDescent="0.2">
      <c r="B284" s="23" t="s">
        <v>237</v>
      </c>
      <c r="C284" s="8">
        <v>76.999577382606859</v>
      </c>
      <c r="D284" s="8">
        <v>0.4178033018481927</v>
      </c>
      <c r="E284" s="8">
        <v>12.580198729003097</v>
      </c>
      <c r="F284" s="8">
        <v>1.8249993739862393</v>
      </c>
      <c r="G284" s="8">
        <v>3.0851009068499002E-3</v>
      </c>
      <c r="H284" s="8">
        <v>0.35316674947159693</v>
      </c>
      <c r="I284" s="8">
        <v>1.9222512938274559</v>
      </c>
      <c r="J284" s="8">
        <v>3.4991592417931519</v>
      </c>
      <c r="K284" s="8">
        <v>2.1319128516896297</v>
      </c>
      <c r="L284" s="8">
        <v>8.7025512642618208E-2</v>
      </c>
      <c r="M284" s="8">
        <v>0.23367441500251931</v>
      </c>
      <c r="N284" s="8">
        <v>100</v>
      </c>
      <c r="O284" s="8">
        <v>1.0514545316049859</v>
      </c>
    </row>
    <row r="285" spans="2:15" x14ac:dyDescent="0.2">
      <c r="B285" s="23" t="s">
        <v>238</v>
      </c>
      <c r="C285" s="8">
        <v>77.254687974995619</v>
      </c>
      <c r="D285" s="8">
        <v>0.38119195378178006</v>
      </c>
      <c r="E285" s="8">
        <v>12.638037308362197</v>
      </c>
      <c r="F285" s="8">
        <v>1.1531897884545457</v>
      </c>
      <c r="G285" s="8">
        <v>6.4165920752947719E-2</v>
      </c>
      <c r="H285" s="8">
        <v>0.24126808252971846</v>
      </c>
      <c r="I285" s="8">
        <v>1.6105299864198941</v>
      </c>
      <c r="J285" s="8">
        <v>3.7583642784390836</v>
      </c>
      <c r="K285" s="8">
        <v>2.7667622217060166</v>
      </c>
      <c r="L285" s="8">
        <v>0</v>
      </c>
      <c r="M285" s="8">
        <v>0.17025307103067083</v>
      </c>
      <c r="N285" s="8">
        <v>100</v>
      </c>
      <c r="O285" s="8">
        <v>2.4392872584496952</v>
      </c>
    </row>
    <row r="286" spans="2:15" x14ac:dyDescent="0.2">
      <c r="B286" s="23" t="s">
        <v>239</v>
      </c>
      <c r="C286" s="8">
        <v>77.448788061254717</v>
      </c>
      <c r="D286" s="8">
        <v>0.42025584513150865</v>
      </c>
      <c r="E286" s="8">
        <v>12.505370369194562</v>
      </c>
      <c r="F286" s="8">
        <v>1.8816488081428602</v>
      </c>
      <c r="G286" s="8">
        <v>3.8599870074713244E-2</v>
      </c>
      <c r="H286" s="8">
        <v>0.38711170127354683</v>
      </c>
      <c r="I286" s="8">
        <v>1.6652207966882702</v>
      </c>
      <c r="J286" s="8">
        <v>3.1758862930039893</v>
      </c>
      <c r="K286" s="8">
        <v>2.3158201953105304</v>
      </c>
      <c r="L286" s="8">
        <v>3.5667619596941369E-2</v>
      </c>
      <c r="M286" s="8">
        <v>0.16208120756843336</v>
      </c>
      <c r="N286" s="8">
        <v>100</v>
      </c>
      <c r="O286" s="8">
        <v>1.1818660376765893</v>
      </c>
    </row>
    <row r="287" spans="2:15" x14ac:dyDescent="0.2">
      <c r="B287" s="23" t="s">
        <v>240</v>
      </c>
      <c r="C287" s="8">
        <v>77.45779185143499</v>
      </c>
      <c r="D287" s="8">
        <v>0.33701359830147332</v>
      </c>
      <c r="E287" s="8">
        <v>12.345392158635827</v>
      </c>
      <c r="F287" s="8">
        <v>1.9494171582344768</v>
      </c>
      <c r="G287" s="8">
        <v>6.0096448744191219E-2</v>
      </c>
      <c r="H287" s="8">
        <v>0.3730132421952157</v>
      </c>
      <c r="I287" s="8">
        <v>1.618826544160697</v>
      </c>
      <c r="J287" s="8">
        <v>3.4172722364829946</v>
      </c>
      <c r="K287" s="8">
        <v>2.244769303599194</v>
      </c>
      <c r="L287" s="8">
        <v>7.9150088924831753E-3</v>
      </c>
      <c r="M287" s="8">
        <v>0.24334255117223272</v>
      </c>
      <c r="N287" s="8">
        <v>100</v>
      </c>
      <c r="O287" s="8">
        <v>1.085681896336852</v>
      </c>
    </row>
    <row r="288" spans="2:15" x14ac:dyDescent="0.2">
      <c r="B288" s="23" t="s">
        <v>241</v>
      </c>
      <c r="C288" s="8">
        <v>78.594612907829273</v>
      </c>
      <c r="D288" s="8">
        <v>0.54501976884739978</v>
      </c>
      <c r="E288" s="8">
        <v>11.007169341492094</v>
      </c>
      <c r="F288" s="8">
        <v>2.1211206616469305</v>
      </c>
      <c r="G288" s="8">
        <v>8.9481884558369473E-2</v>
      </c>
      <c r="H288" s="8">
        <v>0.406818721372951</v>
      </c>
      <c r="I288" s="8">
        <v>1.1834890181115598</v>
      </c>
      <c r="J288" s="8">
        <v>3.2735246135075933</v>
      </c>
      <c r="K288" s="8">
        <v>2.4617915358230253</v>
      </c>
      <c r="L288" s="8">
        <v>0.11884472480799647</v>
      </c>
      <c r="M288" s="8">
        <v>0.25583657130035475</v>
      </c>
      <c r="N288" s="8">
        <v>100</v>
      </c>
      <c r="O288" s="8">
        <v>1.1883667021400692</v>
      </c>
    </row>
    <row r="289" spans="1:17" x14ac:dyDescent="0.2">
      <c r="B289" s="23" t="s">
        <v>242</v>
      </c>
      <c r="C289" s="8">
        <v>78.612451447266807</v>
      </c>
      <c r="D289" s="8">
        <v>0.51478275648854754</v>
      </c>
      <c r="E289" s="8">
        <v>11.349676460517715</v>
      </c>
      <c r="F289" s="8">
        <v>1.9426403565363626</v>
      </c>
      <c r="G289" s="8">
        <v>6.9790637365650887E-2</v>
      </c>
      <c r="H289" s="8">
        <v>0.34508949315565901</v>
      </c>
      <c r="I289" s="8">
        <v>1.1870532479572193</v>
      </c>
      <c r="J289" s="8">
        <v>3.1512297801251892</v>
      </c>
      <c r="K289" s="8">
        <v>2.6070064509971171</v>
      </c>
      <c r="L289" s="8">
        <v>2.7883091066922123E-2</v>
      </c>
      <c r="M289" s="8">
        <v>0.24858362157830965</v>
      </c>
      <c r="N289" s="8">
        <v>100</v>
      </c>
      <c r="O289" s="8">
        <v>1.7296912215773053</v>
      </c>
    </row>
    <row r="290" spans="1:17" x14ac:dyDescent="0.2">
      <c r="B290" s="23" t="s">
        <v>243</v>
      </c>
      <c r="C290" s="8">
        <v>78.816899775921613</v>
      </c>
      <c r="D290" s="8">
        <v>0.46369221833939933</v>
      </c>
      <c r="E290" s="8">
        <v>11.587902450551942</v>
      </c>
      <c r="F290" s="8">
        <v>1.6835575281175883</v>
      </c>
      <c r="G290" s="8">
        <v>6.5308060557812589E-2</v>
      </c>
      <c r="H290" s="8">
        <v>0.1756133351365339</v>
      </c>
      <c r="I290" s="8">
        <v>1.2635258418531825</v>
      </c>
      <c r="J290" s="8">
        <v>3.2523619801166963</v>
      </c>
      <c r="K290" s="8">
        <v>2.4667635612104779</v>
      </c>
      <c r="L290" s="8">
        <v>5.9862583232069583E-2</v>
      </c>
      <c r="M290" s="8">
        <v>0.21236445337533041</v>
      </c>
      <c r="N290" s="8">
        <v>100</v>
      </c>
      <c r="O290" s="8">
        <v>1.8036516310152488</v>
      </c>
      <c r="Q290" s="4"/>
    </row>
    <row r="291" spans="1:17" x14ac:dyDescent="0.2">
      <c r="B291" s="23" t="s">
        <v>244</v>
      </c>
      <c r="C291" s="8">
        <v>79.710654638571953</v>
      </c>
      <c r="D291" s="8">
        <v>0.52013176382745363</v>
      </c>
      <c r="E291" s="8">
        <v>10.848805276488264</v>
      </c>
      <c r="F291" s="8">
        <v>1.8196082162257932</v>
      </c>
      <c r="G291" s="8">
        <v>6.332333784024631E-2</v>
      </c>
      <c r="H291" s="8">
        <v>0.15272438581989284</v>
      </c>
      <c r="I291" s="8">
        <v>0.78611063844516227</v>
      </c>
      <c r="J291" s="8">
        <v>3.2172937016264043</v>
      </c>
      <c r="K291" s="8">
        <v>2.623392532204285</v>
      </c>
      <c r="L291" s="8">
        <v>0.11518414620622097</v>
      </c>
      <c r="M291" s="8">
        <v>0.18432075416139998</v>
      </c>
      <c r="N291" s="8">
        <v>100</v>
      </c>
      <c r="O291" s="8">
        <v>1.2412071566123197</v>
      </c>
    </row>
    <row r="292" spans="1:17" x14ac:dyDescent="0.2">
      <c r="B292" s="24" t="s">
        <v>20</v>
      </c>
      <c r="C292" s="18">
        <f t="shared" ref="C292:O292" si="53">AVERAGE(C268:C291)</f>
        <v>76.877324137124802</v>
      </c>
      <c r="D292" s="18">
        <f t="shared" si="53"/>
        <v>0.3892855645317912</v>
      </c>
      <c r="E292" s="18">
        <f t="shared" si="53"/>
        <v>12.597147743662342</v>
      </c>
      <c r="F292" s="18">
        <f t="shared" si="53"/>
        <v>1.8019730847302924</v>
      </c>
      <c r="G292" s="18">
        <f t="shared" si="53"/>
        <v>4.6647078257259743E-2</v>
      </c>
      <c r="H292" s="18">
        <f t="shared" si="53"/>
        <v>0.33125149209739785</v>
      </c>
      <c r="I292" s="18">
        <f t="shared" si="53"/>
        <v>1.8623355293324435</v>
      </c>
      <c r="J292" s="18">
        <f t="shared" si="53"/>
        <v>3.5902481236567159</v>
      </c>
      <c r="K292" s="18">
        <f t="shared" si="53"/>
        <v>2.2851548887167703</v>
      </c>
      <c r="L292" s="18">
        <f t="shared" si="53"/>
        <v>5.7235149977069265E-2</v>
      </c>
      <c r="M292" s="18">
        <f t="shared" si="53"/>
        <v>0.20845028104838068</v>
      </c>
      <c r="N292" s="18">
        <f t="shared" si="53"/>
        <v>100</v>
      </c>
      <c r="O292" s="18">
        <f t="shared" si="53"/>
        <v>1.4452645812703435</v>
      </c>
    </row>
    <row r="293" spans="1:17" x14ac:dyDescent="0.2">
      <c r="B293" s="24" t="s">
        <v>21</v>
      </c>
      <c r="C293" s="18">
        <f t="shared" ref="C293:O293" si="54">STDEV(C268:C291)</f>
        <v>1.192453102104214</v>
      </c>
      <c r="D293" s="18">
        <f t="shared" si="54"/>
        <v>7.298656821866728E-2</v>
      </c>
      <c r="E293" s="18">
        <f t="shared" si="54"/>
        <v>0.83962956514920806</v>
      </c>
      <c r="F293" s="18">
        <f t="shared" si="54"/>
        <v>0.26098471021263936</v>
      </c>
      <c r="G293" s="18">
        <f t="shared" si="54"/>
        <v>2.5508534571674377E-2</v>
      </c>
      <c r="H293" s="18">
        <f t="shared" si="54"/>
        <v>9.2854692090608398E-2</v>
      </c>
      <c r="I293" s="18">
        <f t="shared" si="54"/>
        <v>0.4925467189565722</v>
      </c>
      <c r="J293" s="18">
        <f t="shared" si="54"/>
        <v>0.35468765025375731</v>
      </c>
      <c r="K293" s="18">
        <f t="shared" si="54"/>
        <v>0.30186101930596071</v>
      </c>
      <c r="L293" s="18">
        <f t="shared" si="54"/>
        <v>4.9307263411963474E-2</v>
      </c>
      <c r="M293" s="18">
        <f t="shared" si="54"/>
        <v>4.5327108805578949E-2</v>
      </c>
      <c r="N293" s="18">
        <f t="shared" si="54"/>
        <v>0</v>
      </c>
      <c r="O293" s="18">
        <f t="shared" si="54"/>
        <v>0.6944319298900119</v>
      </c>
      <c r="Q293" s="4"/>
    </row>
    <row r="294" spans="1:17" x14ac:dyDescent="0.2">
      <c r="B294" s="23"/>
    </row>
    <row r="295" spans="1:17" x14ac:dyDescent="0.2">
      <c r="A295" s="1" t="s">
        <v>76</v>
      </c>
      <c r="B295" s="23" t="s">
        <v>63</v>
      </c>
      <c r="C295" s="8">
        <v>74.426299999999998</v>
      </c>
      <c r="D295" s="8">
        <v>0.13101299999999999</v>
      </c>
      <c r="E295" s="8">
        <v>13.110900000000001</v>
      </c>
      <c r="F295" s="8">
        <v>1.6559699999999999</v>
      </c>
      <c r="G295" s="8">
        <v>5.1887000000000003E-2</v>
      </c>
      <c r="H295" s="8">
        <v>4.7794000000000003E-2</v>
      </c>
      <c r="I295" s="8">
        <v>0.67629700000000004</v>
      </c>
      <c r="J295" s="8">
        <v>3.96793</v>
      </c>
      <c r="K295" s="8">
        <v>5.0756399999999999</v>
      </c>
      <c r="L295" s="8">
        <v>0</v>
      </c>
      <c r="M295" s="8">
        <v>0.35956100000000002</v>
      </c>
      <c r="N295" s="8">
        <v>99.422200000000004</v>
      </c>
      <c r="O295" s="8">
        <f t="shared" ref="O295:O300" si="55">100-N295</f>
        <v>0.57779999999999632</v>
      </c>
    </row>
    <row r="296" spans="1:17" x14ac:dyDescent="0.2">
      <c r="B296" s="23" t="s">
        <v>64</v>
      </c>
      <c r="C296" s="8">
        <v>74.428799999999995</v>
      </c>
      <c r="D296" s="8">
        <v>7.9853999999999994E-2</v>
      </c>
      <c r="E296" s="8">
        <v>13.0808</v>
      </c>
      <c r="F296" s="8">
        <v>1.5266900000000001</v>
      </c>
      <c r="G296" s="8">
        <v>8.3971000000000004E-2</v>
      </c>
      <c r="H296" s="8">
        <v>4.2483E-2</v>
      </c>
      <c r="I296" s="8">
        <v>0.66552800000000001</v>
      </c>
      <c r="J296" s="8">
        <v>3.9278400000000002</v>
      </c>
      <c r="K296" s="8">
        <v>5.2824400000000002</v>
      </c>
      <c r="L296" s="8">
        <v>0</v>
      </c>
      <c r="M296" s="8">
        <v>0.33682000000000001</v>
      </c>
      <c r="N296" s="8">
        <v>99.379199999999997</v>
      </c>
      <c r="O296" s="8">
        <f t="shared" si="55"/>
        <v>0.62080000000000268</v>
      </c>
    </row>
    <row r="297" spans="1:17" x14ac:dyDescent="0.2">
      <c r="B297" s="23" t="s">
        <v>245</v>
      </c>
      <c r="C297" s="8">
        <v>74.530500000000004</v>
      </c>
      <c r="D297" s="8">
        <v>9.0042999999999998E-2</v>
      </c>
      <c r="E297" s="8">
        <v>13.065300000000001</v>
      </c>
      <c r="F297" s="8">
        <v>1.6280699999999999</v>
      </c>
      <c r="G297" s="8">
        <v>4.1218999999999999E-2</v>
      </c>
      <c r="H297" s="8">
        <v>3.0426999999999999E-2</v>
      </c>
      <c r="I297" s="8">
        <v>0.72728999999999999</v>
      </c>
      <c r="J297" s="8">
        <v>4.2053399999999996</v>
      </c>
      <c r="K297" s="8">
        <v>5.2164000000000001</v>
      </c>
      <c r="L297" s="8">
        <v>7.3923000000000003E-2</v>
      </c>
      <c r="M297" s="8">
        <v>0.30444300000000002</v>
      </c>
      <c r="N297" s="8">
        <v>99.844200000000001</v>
      </c>
      <c r="O297" s="8">
        <f t="shared" si="55"/>
        <v>0.15579999999999927</v>
      </c>
    </row>
    <row r="298" spans="1:17" x14ac:dyDescent="0.2">
      <c r="B298" s="23" t="s">
        <v>246</v>
      </c>
      <c r="C298" s="8">
        <v>74.329400000000007</v>
      </c>
      <c r="D298" s="8">
        <v>7.2968000000000005E-2</v>
      </c>
      <c r="E298" s="8">
        <v>12.971500000000001</v>
      </c>
      <c r="F298" s="8">
        <v>1.5264500000000001</v>
      </c>
      <c r="G298" s="8">
        <v>6.2590000000000007E-2</v>
      </c>
      <c r="H298" s="8">
        <v>5.5792000000000001E-2</v>
      </c>
      <c r="I298" s="8">
        <v>0.73238700000000001</v>
      </c>
      <c r="J298" s="8">
        <v>3.9146299999999998</v>
      </c>
      <c r="K298" s="8">
        <v>5.1616799999999996</v>
      </c>
      <c r="L298" s="8">
        <v>0</v>
      </c>
      <c r="M298" s="8">
        <v>0.37155199999999999</v>
      </c>
      <c r="N298" s="8">
        <v>99.115099999999998</v>
      </c>
      <c r="O298" s="8">
        <f t="shared" si="55"/>
        <v>0.8849000000000018</v>
      </c>
    </row>
    <row r="299" spans="1:17" x14ac:dyDescent="0.2">
      <c r="B299" s="23" t="s">
        <v>247</v>
      </c>
      <c r="C299" s="8">
        <v>74.608699999999999</v>
      </c>
      <c r="D299" s="8">
        <v>5.8873000000000002E-2</v>
      </c>
      <c r="E299" s="8">
        <v>13.2255</v>
      </c>
      <c r="F299" s="8">
        <v>1.59822</v>
      </c>
      <c r="G299" s="8">
        <v>6.8696999999999994E-2</v>
      </c>
      <c r="H299" s="8">
        <v>3.2305E-2</v>
      </c>
      <c r="I299" s="8">
        <v>0.71068299999999995</v>
      </c>
      <c r="J299" s="8">
        <v>3.9813900000000002</v>
      </c>
      <c r="K299" s="8">
        <v>4.9097299999999997</v>
      </c>
      <c r="L299" s="8">
        <v>3.1151000000000002E-2</v>
      </c>
      <c r="M299" s="8">
        <v>0.37418499999999999</v>
      </c>
      <c r="N299" s="8">
        <v>99.515000000000001</v>
      </c>
      <c r="O299" s="8">
        <f t="shared" si="55"/>
        <v>0.48499999999999943</v>
      </c>
      <c r="P299" s="6"/>
    </row>
    <row r="300" spans="1:17" x14ac:dyDescent="0.2">
      <c r="B300" s="23" t="s">
        <v>248</v>
      </c>
      <c r="C300" s="8">
        <v>74.284099999999995</v>
      </c>
      <c r="D300" s="8">
        <v>5.0495999999999999E-2</v>
      </c>
      <c r="E300" s="8">
        <v>13.024800000000001</v>
      </c>
      <c r="F300" s="8">
        <v>1.51024</v>
      </c>
      <c r="G300" s="8">
        <v>8.0910999999999997E-2</v>
      </c>
      <c r="H300" s="8">
        <v>4.1098000000000003E-2</v>
      </c>
      <c r="I300" s="8">
        <v>0.71137600000000001</v>
      </c>
      <c r="J300" s="8">
        <v>3.8499099999999999</v>
      </c>
      <c r="K300" s="8">
        <v>5.0628000000000002</v>
      </c>
      <c r="L300" s="8">
        <v>0</v>
      </c>
      <c r="M300" s="8">
        <v>0.30454500000000001</v>
      </c>
      <c r="N300" s="8">
        <v>98.851500000000001</v>
      </c>
      <c r="O300" s="8">
        <f t="shared" si="55"/>
        <v>1.1484999999999985</v>
      </c>
      <c r="P300" s="6"/>
    </row>
    <row r="301" spans="1:17" x14ac:dyDescent="0.2">
      <c r="B301" s="24" t="s">
        <v>20</v>
      </c>
      <c r="C301" s="18">
        <f>AVERAGE(C295:C300)</f>
        <v>74.434633333333338</v>
      </c>
      <c r="D301" s="18">
        <f>AVERAGE(D295:D300)</f>
        <v>8.054116666666665E-2</v>
      </c>
      <c r="E301" s="18">
        <f t="shared" ref="E301:O301" si="56">AVERAGE(E295:E300)</f>
        <v>13.079800000000001</v>
      </c>
      <c r="F301" s="18">
        <f t="shared" si="56"/>
        <v>1.5742733333333332</v>
      </c>
      <c r="G301" s="18">
        <f t="shared" si="56"/>
        <v>6.4879166666666668E-2</v>
      </c>
      <c r="H301" s="18">
        <f t="shared" si="56"/>
        <v>4.164983333333333E-2</v>
      </c>
      <c r="I301" s="18">
        <f t="shared" si="56"/>
        <v>0.70392683333333339</v>
      </c>
      <c r="J301" s="18">
        <f t="shared" si="56"/>
        <v>3.9745066666666671</v>
      </c>
      <c r="K301" s="18">
        <f t="shared" si="56"/>
        <v>5.1181150000000004</v>
      </c>
      <c r="L301" s="18">
        <f t="shared" si="56"/>
        <v>1.7512333333333335E-2</v>
      </c>
      <c r="M301" s="18">
        <f t="shared" si="56"/>
        <v>0.34185099999999996</v>
      </c>
      <c r="N301" s="18">
        <f t="shared" si="56"/>
        <v>99.354533333333336</v>
      </c>
      <c r="O301" s="18">
        <f t="shared" si="56"/>
        <v>0.6454666666666663</v>
      </c>
      <c r="P301" s="6"/>
    </row>
    <row r="302" spans="1:17" x14ac:dyDescent="0.2">
      <c r="B302" s="24" t="s">
        <v>21</v>
      </c>
      <c r="C302" s="18">
        <f>STDEV(C295:C300)</f>
        <v>0.12110114230124648</v>
      </c>
      <c r="D302" s="18">
        <f t="shared" ref="D302:F302" si="57">STDEV(D295:D300)</f>
        <v>2.8522753495528221E-2</v>
      </c>
      <c r="E302" s="18">
        <f t="shared" si="57"/>
        <v>8.6210022619182591E-2</v>
      </c>
      <c r="F302" s="18">
        <f t="shared" si="57"/>
        <v>6.1308045366547596E-2</v>
      </c>
      <c r="G302" s="18">
        <f>STDEV(G295:G300)</f>
        <v>1.6552545404458646E-2</v>
      </c>
      <c r="H302" s="18">
        <f t="shared" ref="H302:J302" si="58">STDEV(H295:H300)</f>
        <v>9.5081885428648649E-3</v>
      </c>
      <c r="I302" s="18">
        <f t="shared" si="58"/>
        <v>2.7183938665444822E-2</v>
      </c>
      <c r="J302" s="18">
        <f t="shared" si="58"/>
        <v>0.12219818569302343</v>
      </c>
      <c r="K302" s="18">
        <f>STDEV(K295:K300)</f>
        <v>0.13179433914246863</v>
      </c>
      <c r="L302" s="18">
        <f t="shared" ref="L302:O302" si="59">STDEV(L295:L300)</f>
        <v>3.0314695503446291E-2</v>
      </c>
      <c r="M302" s="18">
        <f t="shared" si="59"/>
        <v>3.1804679272081957E-2</v>
      </c>
      <c r="N302" s="18">
        <f t="shared" si="59"/>
        <v>0.34090499360770121</v>
      </c>
      <c r="O302" s="18">
        <f t="shared" si="59"/>
        <v>0.34090499360770105</v>
      </c>
      <c r="P302" s="6"/>
    </row>
    <row r="303" spans="1:17" x14ac:dyDescent="0.2">
      <c r="B303" s="23"/>
    </row>
    <row r="304" spans="1:17" x14ac:dyDescent="0.2">
      <c r="A304" s="1" t="s">
        <v>76</v>
      </c>
      <c r="B304" s="23" t="s">
        <v>66</v>
      </c>
      <c r="C304" s="39">
        <v>75.680000000000007</v>
      </c>
      <c r="D304" s="39">
        <v>0.31</v>
      </c>
      <c r="E304" s="39">
        <v>13</v>
      </c>
      <c r="F304" s="39">
        <v>1.72</v>
      </c>
      <c r="G304" s="39">
        <v>0.06</v>
      </c>
      <c r="H304" s="39">
        <v>0.31</v>
      </c>
      <c r="I304" s="39">
        <v>1.45</v>
      </c>
      <c r="J304" s="39">
        <v>3.35</v>
      </c>
      <c r="K304" s="39">
        <v>3.81</v>
      </c>
      <c r="L304" s="39">
        <v>7.0000000000000007E-2</v>
      </c>
      <c r="M304" s="39">
        <v>0.32</v>
      </c>
      <c r="N304" s="39">
        <v>100</v>
      </c>
      <c r="O304" s="39">
        <v>4.7699999999999996</v>
      </c>
    </row>
    <row r="305" spans="2:15" x14ac:dyDescent="0.2">
      <c r="B305" s="23" t="s">
        <v>65</v>
      </c>
      <c r="C305" s="39">
        <v>76.040000000000006</v>
      </c>
      <c r="D305" s="39">
        <v>0.3</v>
      </c>
      <c r="E305" s="39">
        <v>13.05</v>
      </c>
      <c r="F305" s="39">
        <v>1.71</v>
      </c>
      <c r="G305" s="39">
        <v>0.05</v>
      </c>
      <c r="H305" s="39">
        <v>0.32</v>
      </c>
      <c r="I305" s="39">
        <v>1.47</v>
      </c>
      <c r="J305" s="39">
        <v>3.26</v>
      </c>
      <c r="K305" s="39">
        <v>3.58</v>
      </c>
      <c r="L305" s="39">
        <v>0.03</v>
      </c>
      <c r="M305" s="39">
        <v>0.24</v>
      </c>
      <c r="N305" s="39">
        <v>100</v>
      </c>
      <c r="O305" s="39">
        <v>5.05</v>
      </c>
    </row>
    <row r="306" spans="2:15" x14ac:dyDescent="0.2">
      <c r="B306" s="23" t="s">
        <v>249</v>
      </c>
      <c r="C306" s="39">
        <v>75.64</v>
      </c>
      <c r="D306" s="39">
        <v>0.31</v>
      </c>
      <c r="E306" s="39">
        <v>13.1</v>
      </c>
      <c r="F306" s="39">
        <v>1.77</v>
      </c>
      <c r="G306" s="39">
        <v>0.05</v>
      </c>
      <c r="H306" s="39">
        <v>0.24</v>
      </c>
      <c r="I306" s="39">
        <v>1.43</v>
      </c>
      <c r="J306" s="39">
        <v>3.47</v>
      </c>
      <c r="K306" s="39">
        <v>3.74</v>
      </c>
      <c r="L306" s="39">
        <v>0.06</v>
      </c>
      <c r="M306" s="39">
        <v>0.27</v>
      </c>
      <c r="N306" s="39">
        <v>100</v>
      </c>
      <c r="O306" s="39">
        <v>3.26</v>
      </c>
    </row>
    <row r="307" spans="2:15" x14ac:dyDescent="0.2">
      <c r="B307" s="23" t="s">
        <v>250</v>
      </c>
      <c r="C307" s="39">
        <v>75.959999999999994</v>
      </c>
      <c r="D307" s="39">
        <v>0.34</v>
      </c>
      <c r="E307" s="39">
        <v>13.06</v>
      </c>
      <c r="F307" s="39">
        <v>1.71</v>
      </c>
      <c r="G307" s="39">
        <v>0.06</v>
      </c>
      <c r="H307" s="39">
        <v>0.28000000000000003</v>
      </c>
      <c r="I307" s="39">
        <v>1.48</v>
      </c>
      <c r="J307" s="39">
        <v>3.23</v>
      </c>
      <c r="K307" s="39">
        <v>3.65</v>
      </c>
      <c r="L307" s="39">
        <v>0</v>
      </c>
      <c r="M307" s="39">
        <v>0.3</v>
      </c>
      <c r="N307" s="39">
        <v>100</v>
      </c>
      <c r="O307" s="39">
        <v>4.26</v>
      </c>
    </row>
    <row r="308" spans="2:15" x14ac:dyDescent="0.2">
      <c r="B308" s="23" t="s">
        <v>251</v>
      </c>
      <c r="C308" s="39">
        <v>76.16</v>
      </c>
      <c r="D308" s="39">
        <v>0.3</v>
      </c>
      <c r="E308" s="39">
        <v>12.89</v>
      </c>
      <c r="F308" s="39">
        <v>1.75</v>
      </c>
      <c r="G308" s="39">
        <v>7.0000000000000007E-2</v>
      </c>
      <c r="H308" s="39">
        <v>0.3</v>
      </c>
      <c r="I308" s="39">
        <v>1.39</v>
      </c>
      <c r="J308" s="39">
        <v>3.39</v>
      </c>
      <c r="K308" s="39">
        <v>3.46</v>
      </c>
      <c r="L308" s="39">
        <v>7.0000000000000007E-2</v>
      </c>
      <c r="M308" s="39">
        <v>0.28999999999999998</v>
      </c>
      <c r="N308" s="39">
        <v>100</v>
      </c>
      <c r="O308" s="39">
        <v>5.01</v>
      </c>
    </row>
    <row r="309" spans="2:15" x14ac:dyDescent="0.2">
      <c r="B309" s="23" t="s">
        <v>252</v>
      </c>
      <c r="C309" s="39">
        <v>75.400000000000006</v>
      </c>
      <c r="D309" s="39">
        <v>0.28999999999999998</v>
      </c>
      <c r="E309" s="39">
        <v>13.22</v>
      </c>
      <c r="F309" s="39">
        <v>1.84</v>
      </c>
      <c r="G309" s="39">
        <v>0.1</v>
      </c>
      <c r="H309" s="39">
        <v>0.3</v>
      </c>
      <c r="I309" s="39">
        <v>1.36</v>
      </c>
      <c r="J309" s="39">
        <v>3.58</v>
      </c>
      <c r="K309" s="39">
        <v>3.53</v>
      </c>
      <c r="L309" s="39">
        <v>0.15</v>
      </c>
      <c r="M309" s="39">
        <v>0.3</v>
      </c>
      <c r="N309" s="39">
        <v>100</v>
      </c>
      <c r="O309" s="39">
        <v>4.33</v>
      </c>
    </row>
    <row r="310" spans="2:15" x14ac:dyDescent="0.2">
      <c r="B310" s="24" t="s">
        <v>20</v>
      </c>
      <c r="C310" s="18">
        <f>AVERAGE(C304:C309)</f>
        <v>75.813333333333333</v>
      </c>
      <c r="D310" s="18">
        <f t="shared" ref="D310:O310" si="60">AVERAGE(D304:D309)</f>
        <v>0.30833333333333335</v>
      </c>
      <c r="E310" s="18">
        <f t="shared" si="60"/>
        <v>13.053333333333333</v>
      </c>
      <c r="F310" s="18">
        <f t="shared" si="60"/>
        <v>1.75</v>
      </c>
      <c r="G310" s="18">
        <f t="shared" si="60"/>
        <v>6.5000000000000002E-2</v>
      </c>
      <c r="H310" s="18">
        <f t="shared" si="60"/>
        <v>0.29166666666666669</v>
      </c>
      <c r="I310" s="18">
        <f t="shared" si="60"/>
        <v>1.43</v>
      </c>
      <c r="J310" s="18">
        <f t="shared" si="60"/>
        <v>3.3800000000000003</v>
      </c>
      <c r="K310" s="18">
        <f t="shared" si="60"/>
        <v>3.6283333333333339</v>
      </c>
      <c r="L310" s="18">
        <f t="shared" si="60"/>
        <v>6.3333333333333339E-2</v>
      </c>
      <c r="M310" s="18">
        <f t="shared" si="60"/>
        <v>0.28666666666666668</v>
      </c>
      <c r="N310" s="18">
        <f t="shared" si="60"/>
        <v>100</v>
      </c>
      <c r="O310" s="18">
        <f t="shared" si="60"/>
        <v>4.4466666666666663</v>
      </c>
    </row>
    <row r="311" spans="2:15" x14ac:dyDescent="0.2">
      <c r="B311" s="24" t="s">
        <v>21</v>
      </c>
      <c r="C311" s="18">
        <f>STDEV(C304:C309)</f>
        <v>0.28696108911604212</v>
      </c>
      <c r="D311" s="18">
        <f t="shared" ref="D311:O311" si="61">STDEV(D304:D309)</f>
        <v>1.7224014243685099E-2</v>
      </c>
      <c r="E311" s="18">
        <f t="shared" si="61"/>
        <v>0.10911767348448494</v>
      </c>
      <c r="F311" s="18">
        <f t="shared" si="61"/>
        <v>5.0199601592044577E-2</v>
      </c>
      <c r="G311" s="18">
        <f t="shared" si="61"/>
        <v>1.8708286933869715E-2</v>
      </c>
      <c r="H311" s="18">
        <f t="shared" si="61"/>
        <v>2.8577380332470412E-2</v>
      </c>
      <c r="I311" s="18">
        <f t="shared" si="61"/>
        <v>4.690415759823427E-2</v>
      </c>
      <c r="J311" s="18">
        <f t="shared" si="61"/>
        <v>0.13114877048604012</v>
      </c>
      <c r="K311" s="18">
        <f t="shared" si="61"/>
        <v>0.131364632480233</v>
      </c>
      <c r="L311" s="18">
        <f t="shared" si="61"/>
        <v>5.0464508980734832E-2</v>
      </c>
      <c r="M311" s="18">
        <f t="shared" si="61"/>
        <v>2.8047578623950173E-2</v>
      </c>
      <c r="N311" s="18">
        <f t="shared" si="61"/>
        <v>0</v>
      </c>
      <c r="O311" s="18">
        <f t="shared" si="61"/>
        <v>0.66970640333407483</v>
      </c>
    </row>
  </sheetData>
  <pageMargins left="0.25" right="0.25" top="0.75" bottom="0.75" header="0.3" footer="0.3"/>
  <pageSetup paperSize="9" scale="46" fitToHeight="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1C71-68D1-2B46-A6AE-65C828B722D0}">
  <dimension ref="A1:AE311"/>
  <sheetViews>
    <sheetView zoomScale="75" workbookViewId="0">
      <pane ySplit="17" topLeftCell="A18" activePane="bottomLeft" state="frozen"/>
      <selection pane="bottomLeft" activeCell="O44" sqref="A44:O44"/>
    </sheetView>
  </sheetViews>
  <sheetFormatPr baseColWidth="10" defaultRowHeight="16" x14ac:dyDescent="0.2"/>
  <cols>
    <col min="1" max="1" width="21.6640625" style="1" customWidth="1"/>
    <col min="2" max="2" width="13" style="1" customWidth="1"/>
    <col min="3" max="15" width="10.83203125" style="1"/>
    <col min="16" max="16" width="25" style="1" customWidth="1"/>
    <col min="17" max="17" width="12.1640625" style="1" bestFit="1" customWidth="1"/>
    <col min="18" max="18" width="11" style="1" bestFit="1" customWidth="1"/>
    <col min="19" max="19" width="12.1640625" style="1" bestFit="1" customWidth="1"/>
    <col min="20" max="27" width="11" style="1" bestFit="1" customWidth="1"/>
    <col min="28" max="28" width="13.33203125" style="1" bestFit="1" customWidth="1"/>
    <col min="29" max="29" width="11" style="1" bestFit="1" customWidth="1"/>
    <col min="30" max="16384" width="10.83203125" style="1"/>
  </cols>
  <sheetData>
    <row r="1" spans="1:15" x14ac:dyDescent="0.2">
      <c r="A1" s="23" t="s">
        <v>0</v>
      </c>
      <c r="B1" s="23"/>
      <c r="C1" s="23"/>
      <c r="D1" s="23"/>
      <c r="E1" s="23"/>
      <c r="F1" s="23"/>
      <c r="G1" s="23"/>
    </row>
    <row r="3" spans="1:15" x14ac:dyDescent="0.2">
      <c r="A3" s="23" t="s">
        <v>1</v>
      </c>
      <c r="B3" s="1" t="s">
        <v>16</v>
      </c>
    </row>
    <row r="4" spans="1:15" x14ac:dyDescent="0.2">
      <c r="A4" s="23" t="s">
        <v>17</v>
      </c>
      <c r="B4" s="1" t="s">
        <v>83</v>
      </c>
    </row>
    <row r="5" spans="1:15" x14ac:dyDescent="0.2">
      <c r="A5" s="23" t="s">
        <v>2</v>
      </c>
      <c r="B5" s="1" t="s">
        <v>69</v>
      </c>
    </row>
    <row r="6" spans="1:15" x14ac:dyDescent="0.2">
      <c r="B6" s="1" t="s">
        <v>3</v>
      </c>
    </row>
    <row r="7" spans="1:15" x14ac:dyDescent="0.2">
      <c r="B7" s="1" t="s">
        <v>4</v>
      </c>
    </row>
    <row r="8" spans="1:15" x14ac:dyDescent="0.2">
      <c r="B8" s="1" t="s">
        <v>91</v>
      </c>
    </row>
    <row r="11" spans="1:15" ht="19" x14ac:dyDescent="0.2">
      <c r="B11" s="23" t="s">
        <v>5</v>
      </c>
      <c r="C11" s="31" t="s">
        <v>85</v>
      </c>
      <c r="D11" s="31" t="s">
        <v>86</v>
      </c>
      <c r="E11" s="31" t="s">
        <v>87</v>
      </c>
      <c r="F11" s="31" t="s">
        <v>12</v>
      </c>
      <c r="G11" s="31" t="s">
        <v>13</v>
      </c>
      <c r="H11" s="31" t="s">
        <v>14</v>
      </c>
      <c r="I11" s="31" t="s">
        <v>15</v>
      </c>
      <c r="J11" s="31" t="s">
        <v>88</v>
      </c>
      <c r="K11" s="31" t="s">
        <v>89</v>
      </c>
      <c r="L11" s="31" t="s">
        <v>90</v>
      </c>
      <c r="M11" s="32" t="s">
        <v>6</v>
      </c>
      <c r="N11" s="32" t="s">
        <v>7</v>
      </c>
      <c r="O11" s="32" t="s">
        <v>8</v>
      </c>
    </row>
    <row r="12" spans="1:15" x14ac:dyDescent="0.2">
      <c r="B12" s="33" t="s">
        <v>9</v>
      </c>
      <c r="C12" s="10">
        <v>74.099999999999994</v>
      </c>
      <c r="D12" s="10">
        <v>7.0000000000000007E-2</v>
      </c>
      <c r="E12" s="10">
        <v>13.1</v>
      </c>
      <c r="F12" s="10">
        <v>1.55</v>
      </c>
      <c r="G12" s="10">
        <v>7.0000000000000007E-2</v>
      </c>
      <c r="H12" s="10">
        <v>0.04</v>
      </c>
      <c r="I12" s="10">
        <v>0.74</v>
      </c>
      <c r="J12" s="10">
        <v>4.0599999999999996</v>
      </c>
      <c r="K12" s="10">
        <v>5.13</v>
      </c>
      <c r="L12" s="11">
        <v>0.01</v>
      </c>
      <c r="M12" s="10">
        <v>0.34</v>
      </c>
      <c r="N12" s="10">
        <v>99.09</v>
      </c>
      <c r="O12" s="12"/>
    </row>
    <row r="13" spans="1:15" x14ac:dyDescent="0.2">
      <c r="B13" s="34" t="s">
        <v>10</v>
      </c>
      <c r="C13" s="13">
        <v>0.96</v>
      </c>
      <c r="D13" s="13">
        <v>0.03</v>
      </c>
      <c r="E13" s="13">
        <v>0.34</v>
      </c>
      <c r="F13" s="13">
        <v>0.06</v>
      </c>
      <c r="G13" s="13">
        <v>0.03</v>
      </c>
      <c r="H13" s="13">
        <v>0.02</v>
      </c>
      <c r="I13" s="13">
        <v>0.05</v>
      </c>
      <c r="J13" s="13">
        <v>0.28000000000000003</v>
      </c>
      <c r="K13" s="13">
        <v>0.26</v>
      </c>
      <c r="L13" s="14">
        <v>0.02</v>
      </c>
      <c r="M13" s="13">
        <v>0.03</v>
      </c>
      <c r="N13" s="13"/>
      <c r="O13" s="15"/>
    </row>
    <row r="14" spans="1:15" x14ac:dyDescent="0.2">
      <c r="B14" s="33" t="s">
        <v>11</v>
      </c>
      <c r="C14" s="10">
        <v>75.150000000000006</v>
      </c>
      <c r="D14" s="10">
        <v>0.31</v>
      </c>
      <c r="E14" s="10">
        <v>13.14</v>
      </c>
      <c r="F14" s="10">
        <v>1.7</v>
      </c>
      <c r="G14" s="10">
        <v>0.05</v>
      </c>
      <c r="H14" s="10">
        <v>0.28999999999999998</v>
      </c>
      <c r="I14" s="10">
        <v>1.48</v>
      </c>
      <c r="J14" s="10">
        <v>3.84</v>
      </c>
      <c r="K14" s="10">
        <v>3.72</v>
      </c>
      <c r="L14" s="2"/>
      <c r="M14" s="10">
        <v>0.28000000000000003</v>
      </c>
      <c r="N14" s="10">
        <v>100</v>
      </c>
      <c r="O14" s="10">
        <v>4.12</v>
      </c>
    </row>
    <row r="15" spans="1:15" x14ac:dyDescent="0.2">
      <c r="B15" s="34" t="s">
        <v>10</v>
      </c>
      <c r="C15" s="13">
        <v>1</v>
      </c>
      <c r="D15" s="13">
        <v>0.05</v>
      </c>
      <c r="E15" s="13">
        <v>0.34</v>
      </c>
      <c r="F15" s="13">
        <v>0.14000000000000001</v>
      </c>
      <c r="G15" s="13">
        <v>0.03</v>
      </c>
      <c r="H15" s="13">
        <v>0.03</v>
      </c>
      <c r="I15" s="13">
        <v>0.05</v>
      </c>
      <c r="J15" s="13">
        <v>0.26</v>
      </c>
      <c r="K15" s="13">
        <v>0.26</v>
      </c>
      <c r="L15" s="3"/>
      <c r="M15" s="13">
        <v>0.05</v>
      </c>
      <c r="N15" s="13"/>
      <c r="O15" s="13"/>
    </row>
    <row r="17" spans="1:15" ht="19" x14ac:dyDescent="0.2">
      <c r="A17" s="23" t="s">
        <v>18</v>
      </c>
      <c r="B17" s="23" t="s">
        <v>57</v>
      </c>
      <c r="C17" s="31" t="s">
        <v>85</v>
      </c>
      <c r="D17" s="31" t="s">
        <v>86</v>
      </c>
      <c r="E17" s="31" t="s">
        <v>606</v>
      </c>
      <c r="F17" s="31" t="s">
        <v>12</v>
      </c>
      <c r="G17" s="31" t="s">
        <v>13</v>
      </c>
      <c r="H17" s="31" t="s">
        <v>14</v>
      </c>
      <c r="I17" s="31" t="s">
        <v>15</v>
      </c>
      <c r="J17" s="31" t="s">
        <v>88</v>
      </c>
      <c r="K17" s="31" t="s">
        <v>89</v>
      </c>
      <c r="L17" s="31" t="s">
        <v>90</v>
      </c>
      <c r="M17" s="32" t="s">
        <v>6</v>
      </c>
      <c r="N17" s="32" t="s">
        <v>7</v>
      </c>
      <c r="O17" s="32" t="s">
        <v>8</v>
      </c>
    </row>
    <row r="18" spans="1:15" x14ac:dyDescent="0.2">
      <c r="B18" s="23"/>
    </row>
    <row r="19" spans="1:15" x14ac:dyDescent="0.2">
      <c r="A19" s="1" t="s">
        <v>75</v>
      </c>
      <c r="B19" s="29" t="s">
        <v>23</v>
      </c>
      <c r="C19" s="17">
        <v>74.387547214154921</v>
      </c>
      <c r="D19" s="17">
        <v>0.10279338547160688</v>
      </c>
      <c r="E19" s="17">
        <v>13.364316328240516</v>
      </c>
      <c r="F19" s="17">
        <v>1.4935463046563573</v>
      </c>
      <c r="G19" s="17">
        <v>7.5089489555890163E-2</v>
      </c>
      <c r="H19" s="17">
        <v>3.0020445194604405E-2</v>
      </c>
      <c r="I19" s="17">
        <v>0.77236943907294509</v>
      </c>
      <c r="J19" s="17">
        <v>4.0264297875014492</v>
      </c>
      <c r="K19" s="17">
        <v>5.4622417831073866</v>
      </c>
      <c r="L19" s="17">
        <v>1.378221838627843E-2</v>
      </c>
      <c r="M19" s="17">
        <v>0.35171876637500959</v>
      </c>
      <c r="N19" s="17">
        <v>100.32163015827943</v>
      </c>
      <c r="O19" s="17">
        <v>-0.32163015827943298</v>
      </c>
    </row>
    <row r="20" spans="1:15" x14ac:dyDescent="0.2">
      <c r="B20" s="29" t="s">
        <v>24</v>
      </c>
      <c r="C20" s="17">
        <v>74.685436475015408</v>
      </c>
      <c r="D20" s="17">
        <v>6.9967160909252507E-2</v>
      </c>
      <c r="E20" s="17">
        <v>13.149819764017057</v>
      </c>
      <c r="F20" s="17">
        <v>1.5415914255919478</v>
      </c>
      <c r="G20" s="17">
        <v>7.493146105715473E-2</v>
      </c>
      <c r="H20" s="17">
        <v>5.8750192303904235E-2</v>
      </c>
      <c r="I20" s="17">
        <v>0.70741895878610983</v>
      </c>
      <c r="J20" s="17">
        <v>4.1620369850110945</v>
      </c>
      <c r="K20" s="17">
        <v>5.2366596155032381</v>
      </c>
      <c r="L20" s="17">
        <v>5.1612230780663571E-2</v>
      </c>
      <c r="M20" s="17">
        <v>0.3386198315887578</v>
      </c>
      <c r="N20" s="17">
        <v>100.43711805191604</v>
      </c>
      <c r="O20" s="17">
        <v>-0.43711805191604469</v>
      </c>
    </row>
    <row r="21" spans="1:15" x14ac:dyDescent="0.2">
      <c r="B21" s="29" t="s">
        <v>25</v>
      </c>
      <c r="C21" s="17">
        <v>74.698278745555712</v>
      </c>
      <c r="D21" s="17">
        <v>8.0618501188339825E-2</v>
      </c>
      <c r="E21" s="17">
        <v>13.023432698219285</v>
      </c>
      <c r="F21" s="17">
        <v>1.576149521885776</v>
      </c>
      <c r="G21" s="17">
        <v>5.8045751353195917E-2</v>
      </c>
      <c r="H21" s="17">
        <v>5.6991032254661601E-2</v>
      </c>
      <c r="I21" s="17">
        <v>0.7031130294919673</v>
      </c>
      <c r="J21" s="17">
        <v>4.2603313553662865</v>
      </c>
      <c r="K21" s="17">
        <v>5.2115744874247287</v>
      </c>
      <c r="L21" s="17">
        <v>5.4087451996156027E-2</v>
      </c>
      <c r="M21" s="17">
        <v>0.35852524280873393</v>
      </c>
      <c r="N21" s="17">
        <v>102.20730823003386</v>
      </c>
      <c r="O21" s="17">
        <v>-2.2073082300338598</v>
      </c>
    </row>
    <row r="22" spans="1:15" x14ac:dyDescent="0.2">
      <c r="B22" s="29" t="s">
        <v>26</v>
      </c>
      <c r="C22" s="17">
        <v>74.723807109466406</v>
      </c>
      <c r="D22" s="17">
        <v>6.302125423005317E-2</v>
      </c>
      <c r="E22" s="17">
        <v>13.158421441926235</v>
      </c>
      <c r="F22" s="17">
        <v>1.6416404276408874</v>
      </c>
      <c r="G22" s="17">
        <v>5.4177791776107383E-2</v>
      </c>
      <c r="H22" s="17">
        <v>4.1945814221357611E-2</v>
      </c>
      <c r="I22" s="17">
        <v>0.7086529349193782</v>
      </c>
      <c r="J22" s="17">
        <v>4.0999356701202876</v>
      </c>
      <c r="K22" s="17">
        <v>5.2522674187736795</v>
      </c>
      <c r="L22" s="17">
        <v>0</v>
      </c>
      <c r="M22" s="17">
        <v>0.33047733281352887</v>
      </c>
      <c r="N22" s="17">
        <v>101.43085976463604</v>
      </c>
      <c r="O22" s="17">
        <v>-1.4308597646360397</v>
      </c>
    </row>
    <row r="23" spans="1:15" x14ac:dyDescent="0.2">
      <c r="B23" s="29" t="s">
        <v>27</v>
      </c>
      <c r="C23" s="17">
        <v>74.6928511148094</v>
      </c>
      <c r="D23" s="17">
        <v>9.7719870085066704E-2</v>
      </c>
      <c r="E23" s="17">
        <v>13.211718451443819</v>
      </c>
      <c r="F23" s="17">
        <v>1.6123104909209807</v>
      </c>
      <c r="G23" s="17">
        <v>6.7853508116362149E-2</v>
      </c>
      <c r="H23" s="17">
        <v>3.6346422393178208E-2</v>
      </c>
      <c r="I23" s="17">
        <v>0.78298745309954099</v>
      </c>
      <c r="J23" s="17">
        <v>4.0116594003456063</v>
      </c>
      <c r="K23" s="17">
        <v>5.2370025989540334</v>
      </c>
      <c r="L23" s="17">
        <v>0</v>
      </c>
      <c r="M23" s="17">
        <v>0.32199103880943075</v>
      </c>
      <c r="N23" s="17">
        <v>100.19968294550885</v>
      </c>
      <c r="O23" s="17">
        <v>-0.19968294550885446</v>
      </c>
    </row>
    <row r="24" spans="1:15" x14ac:dyDescent="0.2">
      <c r="B24" s="29" t="s">
        <v>28</v>
      </c>
      <c r="C24" s="17">
        <v>74.392573946234592</v>
      </c>
      <c r="D24" s="17">
        <v>5.4604150882038897E-2</v>
      </c>
      <c r="E24" s="17">
        <v>13.192917554289703</v>
      </c>
      <c r="F24" s="17">
        <v>1.5508654537320179</v>
      </c>
      <c r="G24" s="17">
        <v>0.1160798533975784</v>
      </c>
      <c r="H24" s="17">
        <v>4.9157482910858807E-2</v>
      </c>
      <c r="I24" s="17">
        <v>0.73129223226574136</v>
      </c>
      <c r="J24" s="17">
        <v>4.2631415393510981</v>
      </c>
      <c r="K24" s="17">
        <v>5.353368194474065</v>
      </c>
      <c r="L24" s="17">
        <v>3.1170915671276681E-2</v>
      </c>
      <c r="M24" s="17">
        <v>0.34195301361214503</v>
      </c>
      <c r="N24" s="17">
        <v>99.657258873151974</v>
      </c>
      <c r="O24" s="17">
        <v>0.3427411268480256</v>
      </c>
    </row>
    <row r="25" spans="1:15" x14ac:dyDescent="0.2">
      <c r="B25" s="30" t="s">
        <v>20</v>
      </c>
      <c r="C25" s="16">
        <f>AVERAGE(C19:C24)</f>
        <v>74.596749100872742</v>
      </c>
      <c r="D25" s="16">
        <f t="shared" ref="D25:O25" si="0">AVERAGE(D19:D24)</f>
        <v>7.8120720461059667E-2</v>
      </c>
      <c r="E25" s="16">
        <f t="shared" si="0"/>
        <v>13.183437706356102</v>
      </c>
      <c r="F25" s="16">
        <f t="shared" si="0"/>
        <v>1.5693506040713279</v>
      </c>
      <c r="G25" s="16">
        <f t="shared" si="0"/>
        <v>7.4362975876048121E-2</v>
      </c>
      <c r="H25" s="16">
        <f t="shared" si="0"/>
        <v>4.5535231546427475E-2</v>
      </c>
      <c r="I25" s="16">
        <f t="shared" si="0"/>
        <v>0.73430567460594709</v>
      </c>
      <c r="J25" s="16">
        <f t="shared" si="0"/>
        <v>4.1372557896159705</v>
      </c>
      <c r="K25" s="16">
        <f t="shared" si="0"/>
        <v>5.2921856830395226</v>
      </c>
      <c r="L25" s="16">
        <f t="shared" si="0"/>
        <v>2.5108802805729118E-2</v>
      </c>
      <c r="M25" s="16">
        <f t="shared" si="0"/>
        <v>0.34054753766793433</v>
      </c>
      <c r="N25" s="16">
        <f t="shared" si="0"/>
        <v>100.70897633725438</v>
      </c>
      <c r="O25" s="16">
        <f t="shared" si="0"/>
        <v>-0.70897633725436771</v>
      </c>
    </row>
    <row r="26" spans="1:15" x14ac:dyDescent="0.2">
      <c r="B26" s="30" t="s">
        <v>61</v>
      </c>
      <c r="C26" s="16">
        <f t="shared" ref="C26:O26" si="1">STDEV(C19:C24)</f>
        <v>0.16062750504820103</v>
      </c>
      <c r="D26" s="16">
        <f t="shared" si="1"/>
        <v>1.9217749253539387E-2</v>
      </c>
      <c r="E26" s="16">
        <f t="shared" si="1"/>
        <v>0.11042130779552004</v>
      </c>
      <c r="F26" s="16">
        <f t="shared" si="1"/>
        <v>5.286995429544479E-2</v>
      </c>
      <c r="G26" s="16">
        <f t="shared" si="1"/>
        <v>2.216851601468426E-2</v>
      </c>
      <c r="H26" s="16">
        <f t="shared" si="1"/>
        <v>1.1463140831086552E-2</v>
      </c>
      <c r="I26" s="16">
        <f t="shared" si="1"/>
        <v>3.5161871985565349E-2</v>
      </c>
      <c r="J26" s="16">
        <f t="shared" si="1"/>
        <v>0.110506625663767</v>
      </c>
      <c r="K26" s="16">
        <f t="shared" si="1"/>
        <v>9.6832150137651826E-2</v>
      </c>
      <c r="L26" s="16">
        <f t="shared" si="1"/>
        <v>2.4364476136391401E-2</v>
      </c>
      <c r="M26" s="16">
        <f t="shared" si="1"/>
        <v>1.3412220711038871E-2</v>
      </c>
      <c r="N26" s="16">
        <f t="shared" si="1"/>
        <v>0.93333247200509184</v>
      </c>
      <c r="O26" s="16">
        <f t="shared" si="1"/>
        <v>0.93333247200509184</v>
      </c>
    </row>
    <row r="27" spans="1:15" x14ac:dyDescent="0.2">
      <c r="B27" s="2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">
      <c r="A28" s="1" t="s">
        <v>75</v>
      </c>
      <c r="B28" s="29" t="s">
        <v>29</v>
      </c>
      <c r="C28" s="17">
        <v>74.96057058201977</v>
      </c>
      <c r="D28" s="17">
        <v>0.32400812059171974</v>
      </c>
      <c r="E28" s="17">
        <v>13.315124005788698</v>
      </c>
      <c r="F28" s="17">
        <v>1.6535979024592842</v>
      </c>
      <c r="G28" s="17">
        <v>4.068848602089617E-2</v>
      </c>
      <c r="H28" s="17">
        <v>0.30819390471281205</v>
      </c>
      <c r="I28" s="17">
        <v>1.5048748250537269</v>
      </c>
      <c r="J28" s="17">
        <v>3.956074412457891</v>
      </c>
      <c r="K28" s="17">
        <v>3.7390351311745942</v>
      </c>
      <c r="L28" s="17">
        <v>2.1635977236792413E-2</v>
      </c>
      <c r="M28" s="17">
        <v>0.22764805386908138</v>
      </c>
      <c r="N28" s="17">
        <v>100</v>
      </c>
      <c r="O28" s="17">
        <v>3.9851225235154573</v>
      </c>
    </row>
    <row r="29" spans="1:15" x14ac:dyDescent="0.2">
      <c r="B29" s="29" t="s">
        <v>30</v>
      </c>
      <c r="C29" s="17">
        <v>75.218037611062655</v>
      </c>
      <c r="D29" s="17">
        <v>0.28534526769630919</v>
      </c>
      <c r="E29" s="17">
        <v>13.172413689299963</v>
      </c>
      <c r="F29" s="17">
        <v>1.680545325494601</v>
      </c>
      <c r="G29" s="17">
        <v>0</v>
      </c>
      <c r="H29" s="17">
        <v>0.27632978741676384</v>
      </c>
      <c r="I29" s="17">
        <v>1.5509232473579027</v>
      </c>
      <c r="J29" s="17">
        <v>3.6076555612620882</v>
      </c>
      <c r="K29" s="17">
        <v>3.7976723638841068</v>
      </c>
      <c r="L29" s="17">
        <v>0.14568532765074416</v>
      </c>
      <c r="M29" s="17">
        <v>0.34262194154517356</v>
      </c>
      <c r="N29" s="17">
        <v>100</v>
      </c>
      <c r="O29" s="17">
        <v>5.0189259530847465</v>
      </c>
    </row>
    <row r="30" spans="1:15" x14ac:dyDescent="0.2">
      <c r="B30" s="29" t="s">
        <v>31</v>
      </c>
      <c r="C30" s="17">
        <v>74.829397724456825</v>
      </c>
      <c r="D30" s="17">
        <v>0.27383434823616443</v>
      </c>
      <c r="E30" s="17">
        <v>13.240933492402689</v>
      </c>
      <c r="F30" s="17">
        <v>1.7391851915060139</v>
      </c>
      <c r="G30" s="17">
        <v>4.0877845930438084E-2</v>
      </c>
      <c r="H30" s="17">
        <v>0.30655924008366003</v>
      </c>
      <c r="I30" s="17">
        <v>1.5841340605240974</v>
      </c>
      <c r="J30" s="17">
        <v>3.9008330737102774</v>
      </c>
      <c r="K30" s="17">
        <v>3.8401596835591914</v>
      </c>
      <c r="L30" s="17">
        <v>6.5181027792950749E-2</v>
      </c>
      <c r="M30" s="17">
        <v>0.23103840652044949</v>
      </c>
      <c r="N30" s="17">
        <v>100</v>
      </c>
      <c r="O30" s="17">
        <v>4.4886071872780207</v>
      </c>
    </row>
    <row r="31" spans="1:15" x14ac:dyDescent="0.2">
      <c r="B31" s="29" t="s">
        <v>32</v>
      </c>
      <c r="C31" s="17">
        <v>74.713952750038615</v>
      </c>
      <c r="D31" s="17">
        <v>0.35601850436710752</v>
      </c>
      <c r="E31" s="17">
        <v>13.331409094264796</v>
      </c>
      <c r="F31" s="17">
        <v>1.7761629806574954</v>
      </c>
      <c r="G31" s="17">
        <v>0.10191405015715958</v>
      </c>
      <c r="H31" s="17">
        <v>0.32178794975152558</v>
      </c>
      <c r="I31" s="17">
        <v>1.587108823380631</v>
      </c>
      <c r="J31" s="17">
        <v>3.8696752921263586</v>
      </c>
      <c r="K31" s="17">
        <v>3.7270920460038437</v>
      </c>
      <c r="L31" s="17">
        <v>0</v>
      </c>
      <c r="M31" s="17">
        <v>0.27754173081407413</v>
      </c>
      <c r="N31" s="17">
        <v>100</v>
      </c>
      <c r="O31" s="17">
        <v>3.551080691601129</v>
      </c>
    </row>
    <row r="32" spans="1:15" x14ac:dyDescent="0.2">
      <c r="B32" s="29" t="s">
        <v>33</v>
      </c>
      <c r="C32" s="17">
        <v>75.206129030619138</v>
      </c>
      <c r="D32" s="17">
        <v>0.35956741066975983</v>
      </c>
      <c r="E32" s="17">
        <v>13.216267979501584</v>
      </c>
      <c r="F32" s="17">
        <v>1.7517751194773623</v>
      </c>
      <c r="G32" s="17">
        <v>4.2308197242994082E-2</v>
      </c>
      <c r="H32" s="17">
        <v>0.33983808036476726</v>
      </c>
      <c r="I32" s="17">
        <v>1.5187282221787601</v>
      </c>
      <c r="J32" s="17">
        <v>3.6427970382515387</v>
      </c>
      <c r="K32" s="17">
        <v>3.7225966077907535</v>
      </c>
      <c r="L32" s="17">
        <v>0</v>
      </c>
      <c r="M32" s="17">
        <v>0.25826251569001274</v>
      </c>
      <c r="N32" s="17">
        <v>100</v>
      </c>
      <c r="O32" s="17">
        <v>4.3353235602535847</v>
      </c>
    </row>
    <row r="33" spans="1:30" x14ac:dyDescent="0.2">
      <c r="B33" s="29" t="s">
        <v>34</v>
      </c>
      <c r="C33" s="17">
        <v>75.005302119335553</v>
      </c>
      <c r="D33" s="17">
        <v>0.27499618591339514</v>
      </c>
      <c r="E33" s="17">
        <v>13.104553913280906</v>
      </c>
      <c r="F33" s="17">
        <v>1.7657189111246689</v>
      </c>
      <c r="G33" s="17">
        <v>6.1654690007828625E-2</v>
      </c>
      <c r="H33" s="17">
        <v>0.29803710402957495</v>
      </c>
      <c r="I33" s="17">
        <v>1.5030622019269686</v>
      </c>
      <c r="J33" s="17">
        <v>3.987716852562738</v>
      </c>
      <c r="K33" s="17">
        <v>3.6916447613832144</v>
      </c>
      <c r="L33" s="17">
        <v>5.9709455202517511E-2</v>
      </c>
      <c r="M33" s="17">
        <v>0.31975684296336904</v>
      </c>
      <c r="N33" s="17">
        <v>100</v>
      </c>
      <c r="O33" s="17">
        <v>1.5273615157404095</v>
      </c>
    </row>
    <row r="34" spans="1:30" x14ac:dyDescent="0.2">
      <c r="B34" s="30" t="s">
        <v>20</v>
      </c>
      <c r="C34" s="16">
        <f>AVERAGE(C28:C33)</f>
        <v>74.988898302922095</v>
      </c>
      <c r="D34" s="16">
        <f t="shared" ref="D34:O34" si="2">AVERAGE(D28:D33)</f>
        <v>0.31229497291240932</v>
      </c>
      <c r="E34" s="16">
        <f t="shared" si="2"/>
        <v>13.230117029089774</v>
      </c>
      <c r="F34" s="16">
        <f t="shared" si="2"/>
        <v>1.7278309051199041</v>
      </c>
      <c r="G34" s="16">
        <f t="shared" si="2"/>
        <v>4.7907211559886087E-2</v>
      </c>
      <c r="H34" s="16">
        <f t="shared" si="2"/>
        <v>0.30845767772651728</v>
      </c>
      <c r="I34" s="16">
        <f t="shared" si="2"/>
        <v>1.5414718967370147</v>
      </c>
      <c r="J34" s="16">
        <f t="shared" si="2"/>
        <v>3.8274587050618156</v>
      </c>
      <c r="K34" s="16">
        <f t="shared" si="2"/>
        <v>3.7530334322992842</v>
      </c>
      <c r="L34" s="16">
        <f t="shared" si="2"/>
        <v>4.8701964647167473E-2</v>
      </c>
      <c r="M34" s="16">
        <f t="shared" si="2"/>
        <v>0.27614491523369339</v>
      </c>
      <c r="N34" s="16">
        <f t="shared" si="2"/>
        <v>100</v>
      </c>
      <c r="O34" s="16">
        <f t="shared" si="2"/>
        <v>3.8177369052455581</v>
      </c>
    </row>
    <row r="35" spans="1:30" x14ac:dyDescent="0.2">
      <c r="B35" s="30" t="s">
        <v>61</v>
      </c>
      <c r="C35" s="16">
        <f>STDEV(C28:C33)</f>
        <v>0.20089850578664148</v>
      </c>
      <c r="D35" s="16">
        <f t="shared" ref="D35:O35" si="3">STDEV(D28:D33)</f>
        <v>3.9699708251495838E-2</v>
      </c>
      <c r="E35" s="16">
        <f t="shared" si="3"/>
        <v>8.5896253797866667E-2</v>
      </c>
      <c r="F35" s="16">
        <f t="shared" si="3"/>
        <v>4.9437233882640978E-2</v>
      </c>
      <c r="G35" s="16">
        <f t="shared" si="3"/>
        <v>3.3267712994051075E-2</v>
      </c>
      <c r="H35" s="16">
        <f t="shared" si="3"/>
        <v>2.1479707426382402E-2</v>
      </c>
      <c r="I35" s="16">
        <f t="shared" si="3"/>
        <v>3.8272816370458103E-2</v>
      </c>
      <c r="J35" s="16">
        <f t="shared" si="3"/>
        <v>0.16236013392502002</v>
      </c>
      <c r="K35" s="16">
        <f t="shared" si="3"/>
        <v>5.5040884861982949E-2</v>
      </c>
      <c r="L35" s="16">
        <f t="shared" si="3"/>
        <v>5.5271742265752481E-2</v>
      </c>
      <c r="M35" s="16">
        <f t="shared" si="3"/>
        <v>4.6966944259207367E-2</v>
      </c>
      <c r="N35" s="16">
        <f t="shared" si="3"/>
        <v>0</v>
      </c>
      <c r="O35" s="16">
        <f t="shared" si="3"/>
        <v>1.2252151578996373</v>
      </c>
    </row>
    <row r="36" spans="1:30" x14ac:dyDescent="0.2">
      <c r="B36" s="23"/>
    </row>
    <row r="37" spans="1:30" x14ac:dyDescent="0.2">
      <c r="A37" s="1" t="s">
        <v>75</v>
      </c>
      <c r="B37" s="29" t="s">
        <v>94</v>
      </c>
      <c r="C37" s="17">
        <v>75.019713661557205</v>
      </c>
      <c r="D37" s="17">
        <v>0.5706814582970311</v>
      </c>
      <c r="E37" s="17">
        <v>13.263273232168727</v>
      </c>
      <c r="F37" s="17">
        <v>2.1181686795227748</v>
      </c>
      <c r="G37" s="17">
        <v>5.6035533065294893E-2</v>
      </c>
      <c r="H37" s="17">
        <v>0.21772163000655481</v>
      </c>
      <c r="I37" s="17">
        <v>2.575524313292751</v>
      </c>
      <c r="J37" s="17">
        <v>3.4818331226330641</v>
      </c>
      <c r="K37" s="17">
        <v>2.4331304992798684</v>
      </c>
      <c r="L37" s="17">
        <v>3.535849001195223E-2</v>
      </c>
      <c r="M37" s="17">
        <v>0.29516913146950807</v>
      </c>
      <c r="N37" s="17">
        <v>100</v>
      </c>
      <c r="O37" s="17">
        <v>2.8580669758753317</v>
      </c>
      <c r="Q37" s="26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x14ac:dyDescent="0.2">
      <c r="A38" s="1" t="s">
        <v>77</v>
      </c>
      <c r="B38" s="29" t="s">
        <v>95</v>
      </c>
      <c r="C38" s="17">
        <v>75.113178550301512</v>
      </c>
      <c r="D38" s="17">
        <v>0.38922704794139013</v>
      </c>
      <c r="E38" s="17">
        <v>13.035833393832943</v>
      </c>
      <c r="F38" s="17">
        <v>2.0072668435843788</v>
      </c>
      <c r="G38" s="17">
        <v>6.6384266659908153E-2</v>
      </c>
      <c r="H38" s="17">
        <v>0.53898184429344143</v>
      </c>
      <c r="I38" s="17">
        <v>2.3121357376270537</v>
      </c>
      <c r="J38" s="17">
        <v>4.0483591024014141</v>
      </c>
      <c r="K38" s="17">
        <v>2.163899575127914</v>
      </c>
      <c r="L38" s="17">
        <v>4.849476238023407E-2</v>
      </c>
      <c r="M38" s="17">
        <v>0.35679313996033607</v>
      </c>
      <c r="N38" s="17">
        <v>100</v>
      </c>
      <c r="O38" s="17">
        <v>0.75509858755567905</v>
      </c>
      <c r="Q38" s="26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x14ac:dyDescent="0.2">
      <c r="A39" s="1" t="s">
        <v>78</v>
      </c>
      <c r="B39" s="29" t="s">
        <v>96</v>
      </c>
      <c r="C39" s="17">
        <v>75.461664609842288</v>
      </c>
      <c r="D39" s="17">
        <v>0.45144886365746423</v>
      </c>
      <c r="E39" s="17">
        <v>12.725818676109993</v>
      </c>
      <c r="F39" s="17">
        <v>1.9891447689436479</v>
      </c>
      <c r="G39" s="17">
        <v>9.0581907755064861E-2</v>
      </c>
      <c r="H39" s="17">
        <v>0.47614800770600141</v>
      </c>
      <c r="I39" s="17">
        <v>2.0159026177583814</v>
      </c>
      <c r="J39" s="17">
        <v>3.5651901630997713</v>
      </c>
      <c r="K39" s="17">
        <v>2.904898843349474</v>
      </c>
      <c r="L39" s="17">
        <v>9.6581420520527955E-2</v>
      </c>
      <c r="M39" s="17">
        <v>0.28757555175593624</v>
      </c>
      <c r="N39" s="17">
        <v>100</v>
      </c>
      <c r="O39" s="17">
        <v>0.25160405727059754</v>
      </c>
      <c r="Q39" s="26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x14ac:dyDescent="0.2">
      <c r="B40" s="29" t="s">
        <v>97</v>
      </c>
      <c r="C40" s="17">
        <v>75.674318584888496</v>
      </c>
      <c r="D40" s="17">
        <v>0.41432972733854762</v>
      </c>
      <c r="E40" s="17">
        <v>13.154397803799958</v>
      </c>
      <c r="F40" s="17">
        <v>1.8888243188778921</v>
      </c>
      <c r="G40" s="17">
        <v>4.2374167699235452E-2</v>
      </c>
      <c r="H40" s="17">
        <v>0.44709412109006097</v>
      </c>
      <c r="I40" s="17">
        <v>2.1286955027221977</v>
      </c>
      <c r="J40" s="17">
        <v>3.7528390239879492</v>
      </c>
      <c r="K40" s="17">
        <v>2.2146429703821569</v>
      </c>
      <c r="L40" s="17">
        <v>4.2115025552090929E-2</v>
      </c>
      <c r="M40" s="17">
        <v>0.31044546049876154</v>
      </c>
      <c r="N40" s="17">
        <v>100</v>
      </c>
      <c r="O40" s="17">
        <v>1.9331770833819348</v>
      </c>
      <c r="Q40" s="26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x14ac:dyDescent="0.2">
      <c r="B41" s="29" t="s">
        <v>98</v>
      </c>
      <c r="C41" s="17">
        <v>75.677283125305252</v>
      </c>
      <c r="D41" s="17">
        <v>0.45212884867407632</v>
      </c>
      <c r="E41" s="17">
        <v>13.378243982037144</v>
      </c>
      <c r="F41" s="17">
        <v>1.8390917704189955</v>
      </c>
      <c r="G41" s="17">
        <v>5.4663079898378659E-2</v>
      </c>
      <c r="H41" s="17">
        <v>0.44470218183871868</v>
      </c>
      <c r="I41" s="17">
        <v>2.039966247135141</v>
      </c>
      <c r="J41" s="17">
        <v>3.6012153533786533</v>
      </c>
      <c r="K41" s="17">
        <v>2.2160691781253044</v>
      </c>
      <c r="L41" s="17">
        <v>8.2941050511562059E-2</v>
      </c>
      <c r="M41" s="17">
        <v>0.27601691859765554</v>
      </c>
      <c r="N41" s="17">
        <v>100</v>
      </c>
      <c r="O41" s="17">
        <v>0.42639364414146996</v>
      </c>
      <c r="Q41" s="26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x14ac:dyDescent="0.2">
      <c r="B42" s="29" t="s">
        <v>99</v>
      </c>
      <c r="C42" s="17">
        <v>76.133533361490279</v>
      </c>
      <c r="D42" s="17">
        <v>0.31747170748952547</v>
      </c>
      <c r="E42" s="17">
        <v>12.740521514046163</v>
      </c>
      <c r="F42" s="17">
        <v>1.7804047739445525</v>
      </c>
      <c r="G42" s="17">
        <v>6.8664600262572706E-2</v>
      </c>
      <c r="H42" s="17">
        <v>0.37924813422931358</v>
      </c>
      <c r="I42" s="17">
        <v>1.8348251232971506</v>
      </c>
      <c r="J42" s="17">
        <v>3.8487835213168733</v>
      </c>
      <c r="K42" s="17">
        <v>2.62690492635685</v>
      </c>
      <c r="L42" s="17">
        <v>8.4233543134712582E-2</v>
      </c>
      <c r="M42" s="17">
        <v>0.23954879851984459</v>
      </c>
      <c r="N42" s="17">
        <v>100</v>
      </c>
      <c r="O42" s="17">
        <v>1.9043295345381068</v>
      </c>
      <c r="Q42" s="26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x14ac:dyDescent="0.2">
      <c r="B43" s="29" t="s">
        <v>100</v>
      </c>
      <c r="C43" s="17">
        <v>76.324017381639138</v>
      </c>
      <c r="D43" s="17">
        <v>0.42334442602447392</v>
      </c>
      <c r="E43" s="17">
        <v>12.931384152703099</v>
      </c>
      <c r="F43" s="17">
        <v>1.8555677044474639</v>
      </c>
      <c r="G43" s="17">
        <v>6.4254800161084633E-2</v>
      </c>
      <c r="H43" s="17">
        <v>0.38062394764369295</v>
      </c>
      <c r="I43" s="17">
        <v>1.9734399002912553</v>
      </c>
      <c r="J43" s="17">
        <v>3.6486591016261132</v>
      </c>
      <c r="K43" s="17">
        <v>2.1593367337116249</v>
      </c>
      <c r="L43" s="17">
        <v>3.5116982307710418E-2</v>
      </c>
      <c r="M43" s="17">
        <v>0.26381045770463285</v>
      </c>
      <c r="N43" s="17">
        <v>100</v>
      </c>
      <c r="O43" s="17">
        <v>1.7707628974523431</v>
      </c>
      <c r="Q43" s="26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x14ac:dyDescent="0.2">
      <c r="B44" s="29" t="s">
        <v>101</v>
      </c>
      <c r="C44" s="17">
        <v>76.369014562526942</v>
      </c>
      <c r="D44" s="17">
        <v>0.31022897767731145</v>
      </c>
      <c r="E44" s="17">
        <v>12.517800812912816</v>
      </c>
      <c r="F44" s="17">
        <v>1.8213833714928513</v>
      </c>
      <c r="G44" s="17">
        <v>9.9450617507954989E-2</v>
      </c>
      <c r="H44" s="17">
        <v>0.37774307240573174</v>
      </c>
      <c r="I44" s="17">
        <v>1.9335103022755022</v>
      </c>
      <c r="J44" s="17">
        <v>3.1566106296832936</v>
      </c>
      <c r="K44" s="17">
        <v>3.0223915622640862</v>
      </c>
      <c r="L44" s="17">
        <v>8.9043373864411635E-2</v>
      </c>
      <c r="M44" s="41">
        <v>0.3909435570043614</v>
      </c>
      <c r="N44" s="17">
        <v>100</v>
      </c>
      <c r="O44" s="41">
        <v>3.3520329903314519</v>
      </c>
      <c r="P44" s="1" t="s">
        <v>582</v>
      </c>
      <c r="Q44" s="2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x14ac:dyDescent="0.2">
      <c r="B45" s="29" t="s">
        <v>102</v>
      </c>
      <c r="C45" s="17">
        <v>76.633718929172431</v>
      </c>
      <c r="D45" s="17">
        <v>0.37069153000759097</v>
      </c>
      <c r="E45" s="17">
        <v>12.413628817894386</v>
      </c>
      <c r="F45" s="17">
        <v>1.8759646791076421</v>
      </c>
      <c r="G45" s="17">
        <v>4.8062022436838464E-2</v>
      </c>
      <c r="H45" s="17">
        <v>0.42162389644483872</v>
      </c>
      <c r="I45" s="17">
        <v>1.9187901532318623</v>
      </c>
      <c r="J45" s="17">
        <v>3.549827909360443</v>
      </c>
      <c r="K45" s="17">
        <v>2.5629796886539693</v>
      </c>
      <c r="L45" s="17">
        <v>3.5005822098621422E-2</v>
      </c>
      <c r="M45" s="17">
        <v>0.21905961984452879</v>
      </c>
      <c r="N45" s="17">
        <v>100</v>
      </c>
      <c r="O45" s="17">
        <v>1.4752238896526677</v>
      </c>
      <c r="Q45" s="2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x14ac:dyDescent="0.2">
      <c r="B46" s="29" t="s">
        <v>103</v>
      </c>
      <c r="C46" s="17">
        <v>76.749457414552907</v>
      </c>
      <c r="D46" s="17">
        <v>0.32551355351530076</v>
      </c>
      <c r="E46" s="17">
        <v>12.52090861377712</v>
      </c>
      <c r="F46" s="17">
        <v>1.8052659217866818</v>
      </c>
      <c r="G46" s="17">
        <v>6.07493581937271E-2</v>
      </c>
      <c r="H46" s="17">
        <v>0.40139702253721776</v>
      </c>
      <c r="I46" s="17">
        <v>1.7844616790002557</v>
      </c>
      <c r="J46" s="17">
        <v>3.9580069111615228</v>
      </c>
      <c r="K46" s="17">
        <v>2.1800263845471473</v>
      </c>
      <c r="L46" s="17">
        <v>3.4798549691749836E-2</v>
      </c>
      <c r="M46" s="17">
        <v>0.23173615281474041</v>
      </c>
      <c r="N46" s="17">
        <v>100</v>
      </c>
      <c r="O46" s="17">
        <v>0.89936455293040751</v>
      </c>
      <c r="Q46" s="26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x14ac:dyDescent="0.2">
      <c r="B47" s="29" t="s">
        <v>104</v>
      </c>
      <c r="C47" s="17">
        <v>76.800317249034549</v>
      </c>
      <c r="D47" s="17">
        <v>0.34575093182968009</v>
      </c>
      <c r="E47" s="17">
        <v>12.415698031843945</v>
      </c>
      <c r="F47" s="17">
        <v>1.8158952698852693</v>
      </c>
      <c r="G47" s="17">
        <v>1.4558777708136831E-2</v>
      </c>
      <c r="H47" s="17">
        <v>0.40723992795806652</v>
      </c>
      <c r="I47" s="17">
        <v>1.8335974612376003</v>
      </c>
      <c r="J47" s="17">
        <v>3.8623628607806508</v>
      </c>
      <c r="K47" s="17">
        <v>2.2963887090965285</v>
      </c>
      <c r="L47" s="17">
        <v>3.5025640793673679E-2</v>
      </c>
      <c r="M47" s="17">
        <v>0.22369928733564542</v>
      </c>
      <c r="N47" s="17">
        <v>100</v>
      </c>
      <c r="O47" s="17">
        <v>1.4409019242019667</v>
      </c>
      <c r="Q47" s="26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0" x14ac:dyDescent="0.2">
      <c r="B48" s="29" t="s">
        <v>105</v>
      </c>
      <c r="C48" s="17">
        <v>76.810042393222844</v>
      </c>
      <c r="D48" s="17">
        <v>0.45501319189758743</v>
      </c>
      <c r="E48" s="17">
        <v>12.146422342760872</v>
      </c>
      <c r="F48" s="17">
        <v>1.8734457323889724</v>
      </c>
      <c r="G48" s="17">
        <v>6.1313636967140567E-2</v>
      </c>
      <c r="H48" s="17">
        <v>0.15316381112613575</v>
      </c>
      <c r="I48" s="17">
        <v>1.1362650519897841</v>
      </c>
      <c r="J48" s="17">
        <v>3.7372689614406887</v>
      </c>
      <c r="K48" s="17">
        <v>3.4335239077493878</v>
      </c>
      <c r="L48" s="17">
        <v>0.11988806345582532</v>
      </c>
      <c r="M48" s="17">
        <v>9.4799550956684964E-2</v>
      </c>
      <c r="N48" s="17">
        <v>100</v>
      </c>
      <c r="O48" s="17">
        <v>-0.59752291819806658</v>
      </c>
      <c r="Q48" s="26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1:30" x14ac:dyDescent="0.2">
      <c r="B49" s="29" t="s">
        <v>106</v>
      </c>
      <c r="C49" s="17">
        <v>77.328442302347653</v>
      </c>
      <c r="D49" s="17">
        <v>0.34626873322258617</v>
      </c>
      <c r="E49" s="17">
        <v>12.545927381122871</v>
      </c>
      <c r="F49" s="17">
        <v>1.7230125055242087</v>
      </c>
      <c r="G49" s="17">
        <v>1.6608605729906439E-2</v>
      </c>
      <c r="H49" s="17">
        <v>0.41983256524778212</v>
      </c>
      <c r="I49" s="17">
        <v>1.8627684487798624</v>
      </c>
      <c r="J49" s="17">
        <v>3.2281404104177023</v>
      </c>
      <c r="K49" s="17">
        <v>2.1889150196103344</v>
      </c>
      <c r="L49" s="17">
        <v>1.0892594115295676E-2</v>
      </c>
      <c r="M49" s="41">
        <v>0.42521569568633577</v>
      </c>
      <c r="N49" s="17">
        <v>100</v>
      </c>
      <c r="O49" s="41">
        <v>5.0552451154560032</v>
      </c>
      <c r="P49" s="1" t="s">
        <v>582</v>
      </c>
      <c r="Q49" s="26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spans="1:30" x14ac:dyDescent="0.2">
      <c r="B50" s="29" t="s">
        <v>108</v>
      </c>
      <c r="C50" s="17">
        <v>77.581825574191654</v>
      </c>
      <c r="D50" s="17">
        <v>0.34963581332219817</v>
      </c>
      <c r="E50" s="17">
        <v>12.414546095574691</v>
      </c>
      <c r="F50" s="17">
        <v>1.8105366609950619</v>
      </c>
      <c r="G50" s="17">
        <v>2.3893155422926127E-2</v>
      </c>
      <c r="H50" s="17">
        <v>0.31675720664235907</v>
      </c>
      <c r="I50" s="17">
        <v>1.2771965869762398</v>
      </c>
      <c r="J50" s="17">
        <v>3.1729672950674774</v>
      </c>
      <c r="K50" s="17">
        <v>2.6873654706197505</v>
      </c>
      <c r="L50" s="17">
        <v>0.15808582111328254</v>
      </c>
      <c r="M50" s="17">
        <v>0.26761375623608519</v>
      </c>
      <c r="N50" s="17">
        <v>100</v>
      </c>
      <c r="O50" s="17">
        <v>3.9892404584266501</v>
      </c>
      <c r="Q50" s="26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spans="1:30" x14ac:dyDescent="0.2">
      <c r="B51" s="29" t="s">
        <v>109</v>
      </c>
      <c r="C51" s="17">
        <v>77.707432441687615</v>
      </c>
      <c r="D51" s="17">
        <v>0.35403198725439577</v>
      </c>
      <c r="E51" s="17">
        <v>12.85670193568842</v>
      </c>
      <c r="F51" s="17">
        <v>1.7457897744459567</v>
      </c>
      <c r="G51" s="17">
        <v>7.1044737431211688E-2</v>
      </c>
      <c r="H51" s="17">
        <v>0.40213397250410648</v>
      </c>
      <c r="I51" s="17">
        <v>1.9295826401637259</v>
      </c>
      <c r="J51" s="17">
        <v>2.5377441615568537</v>
      </c>
      <c r="K51" s="17">
        <v>2.2209624067124949</v>
      </c>
      <c r="L51" s="17">
        <v>0</v>
      </c>
      <c r="M51" s="17">
        <v>0.22551959590658607</v>
      </c>
      <c r="N51" s="17">
        <v>100</v>
      </c>
      <c r="O51" s="17">
        <v>1.1496100355110599</v>
      </c>
      <c r="Q51" s="2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spans="1:30" x14ac:dyDescent="0.2">
      <c r="B52" s="29" t="s">
        <v>110</v>
      </c>
      <c r="C52" s="17">
        <v>77.783792580917378</v>
      </c>
      <c r="D52" s="17">
        <v>0.56146046013773254</v>
      </c>
      <c r="E52" s="17">
        <v>12.092866057340611</v>
      </c>
      <c r="F52" s="17">
        <v>1.3867737656799362</v>
      </c>
      <c r="G52" s="17">
        <v>1.1402362073368363E-2</v>
      </c>
      <c r="H52" s="17">
        <v>0.12773429010734505</v>
      </c>
      <c r="I52" s="17">
        <v>1.3080833268506575</v>
      </c>
      <c r="J52" s="17">
        <v>3.7782874919137872</v>
      </c>
      <c r="K52" s="17">
        <v>2.5971737668387727</v>
      </c>
      <c r="L52" s="17">
        <v>0.15766420935853565</v>
      </c>
      <c r="M52" s="17">
        <v>0.25101996903087814</v>
      </c>
      <c r="N52" s="17">
        <v>100</v>
      </c>
      <c r="O52" s="17">
        <v>-0.59319223680515165</v>
      </c>
      <c r="Q52" s="2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spans="1:30" x14ac:dyDescent="0.2">
      <c r="B53" s="29" t="s">
        <v>112</v>
      </c>
      <c r="C53" s="17">
        <v>78.181065920369875</v>
      </c>
      <c r="D53" s="17">
        <v>0.36735493836573874</v>
      </c>
      <c r="E53" s="17">
        <v>13.034879550002618</v>
      </c>
      <c r="F53" s="17">
        <v>1.4357657163143382</v>
      </c>
      <c r="G53" s="17">
        <v>7.3087842509871215E-2</v>
      </c>
      <c r="H53" s="17">
        <v>0.23713039515151729</v>
      </c>
      <c r="I53" s="17">
        <v>0.76681241505473319</v>
      </c>
      <c r="J53" s="17">
        <v>2.9201935163643289</v>
      </c>
      <c r="K53" s="17">
        <v>2.7936598771153234</v>
      </c>
      <c r="L53" s="17">
        <v>1.761515451140535E-2</v>
      </c>
      <c r="M53" s="17">
        <v>0.2226672253915758</v>
      </c>
      <c r="N53" s="17">
        <v>100</v>
      </c>
      <c r="O53" s="17">
        <v>1.8126715256265555</v>
      </c>
      <c r="Q53" s="26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spans="1:30" x14ac:dyDescent="0.2">
      <c r="B54" s="29" t="s">
        <v>113</v>
      </c>
      <c r="C54" s="17">
        <v>79.096135558265658</v>
      </c>
      <c r="D54" s="17">
        <v>0.52183574875585848</v>
      </c>
      <c r="E54" s="17">
        <v>10.740960774138019</v>
      </c>
      <c r="F54" s="17">
        <v>1.8902261975063945</v>
      </c>
      <c r="G54" s="17">
        <v>0</v>
      </c>
      <c r="H54" s="17">
        <v>0.11752859166807395</v>
      </c>
      <c r="I54" s="17">
        <v>0.72902021069151612</v>
      </c>
      <c r="J54" s="17">
        <v>3.3703231631829431</v>
      </c>
      <c r="K54" s="17">
        <v>3.3444024143313227</v>
      </c>
      <c r="L54" s="17">
        <v>7.6667743337082137E-2</v>
      </c>
      <c r="M54" s="17">
        <v>0.14576989354188588</v>
      </c>
      <c r="N54" s="17">
        <v>100</v>
      </c>
      <c r="O54" s="17">
        <v>0.92878818045981859</v>
      </c>
      <c r="Q54" s="26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spans="1:30" x14ac:dyDescent="0.2">
      <c r="B55" s="30" t="s">
        <v>20</v>
      </c>
      <c r="C55" s="16">
        <f t="shared" ref="C55:L55" si="4">AVERAGE(C37:C54)</f>
        <v>76.691386344517426</v>
      </c>
      <c r="D55" s="16">
        <f t="shared" si="4"/>
        <v>0.40702321918936052</v>
      </c>
      <c r="E55" s="16">
        <f t="shared" si="4"/>
        <v>12.607211842653022</v>
      </c>
      <c r="F55" s="16">
        <f t="shared" si="4"/>
        <v>1.8145849141592789</v>
      </c>
      <c r="G55" s="16">
        <f t="shared" si="4"/>
        <v>5.1284970637923394E-2</v>
      </c>
      <c r="H55" s="16">
        <f t="shared" si="4"/>
        <v>0.3481558121444977</v>
      </c>
      <c r="I55" s="16">
        <f t="shared" si="4"/>
        <v>1.7422543176875369</v>
      </c>
      <c r="J55" s="16">
        <f t="shared" si="4"/>
        <v>3.5121451499651961</v>
      </c>
      <c r="K55" s="16">
        <f t="shared" si="4"/>
        <v>2.558148440770684</v>
      </c>
      <c r="L55" s="16">
        <f t="shared" si="4"/>
        <v>6.4418235931037418E-2</v>
      </c>
      <c r="M55" s="16">
        <f>AVERAGE(M50:M54,M45:M48,M37:M43)</f>
        <v>0.24445278184783031</v>
      </c>
      <c r="N55" s="16">
        <f>AVERAGE(N37:N54)</f>
        <v>100</v>
      </c>
      <c r="O55" s="16">
        <f>AVERAGE(O37:O54)</f>
        <v>1.6006553498782681</v>
      </c>
      <c r="Q55" s="26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spans="1:30" x14ac:dyDescent="0.2">
      <c r="B56" s="30" t="s">
        <v>61</v>
      </c>
      <c r="C56" s="16">
        <f t="shared" ref="C56:O56" si="5">STDEV(C37:C54)</f>
        <v>1.107976187769522</v>
      </c>
      <c r="D56" s="16">
        <f t="shared" si="5"/>
        <v>8.0891079732126531E-2</v>
      </c>
      <c r="E56" s="16">
        <f t="shared" si="5"/>
        <v>0.5931148936583045</v>
      </c>
      <c r="F56" s="16">
        <f t="shared" si="5"/>
        <v>0.17514195950624184</v>
      </c>
      <c r="G56" s="16">
        <f t="shared" si="5"/>
        <v>2.7933232321845188E-2</v>
      </c>
      <c r="H56" s="16">
        <f t="shared" si="5"/>
        <v>0.12478198328194433</v>
      </c>
      <c r="I56" s="16">
        <f t="shared" si="5"/>
        <v>0.50126857625440935</v>
      </c>
      <c r="J56" s="16">
        <f t="shared" si="5"/>
        <v>0.38923353904604469</v>
      </c>
      <c r="K56" s="16">
        <f t="shared" si="5"/>
        <v>0.40767059470777278</v>
      </c>
      <c r="L56" s="16">
        <f t="shared" si="5"/>
        <v>4.6865002698100754E-2</v>
      </c>
      <c r="M56" s="16">
        <f t="shared" si="5"/>
        <v>7.8878723473738283E-2</v>
      </c>
      <c r="N56" s="16">
        <f t="shared" si="5"/>
        <v>0</v>
      </c>
      <c r="O56" s="16">
        <f t="shared" si="5"/>
        <v>1.4814792791815143</v>
      </c>
      <c r="Q56" s="26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spans="1:30" x14ac:dyDescent="0.2">
      <c r="B57" s="29" t="s">
        <v>92</v>
      </c>
      <c r="C57" s="17">
        <v>71.677042451464573</v>
      </c>
      <c r="D57" s="17">
        <v>0.4824033380808162</v>
      </c>
      <c r="E57" s="17">
        <v>11.640321886032835</v>
      </c>
      <c r="F57" s="17">
        <v>4.5017741830555025</v>
      </c>
      <c r="G57" s="17">
        <v>0.14828198846521479</v>
      </c>
      <c r="H57" s="17">
        <v>3.1136825193822992</v>
      </c>
      <c r="I57" s="17">
        <v>2.919940360990759</v>
      </c>
      <c r="J57" s="17">
        <v>3.2550367749752755</v>
      </c>
      <c r="K57" s="17">
        <v>1.9664071982407396</v>
      </c>
      <c r="L57" s="17">
        <v>0.14280199772746116</v>
      </c>
      <c r="M57" s="17">
        <v>0.19672827089343656</v>
      </c>
      <c r="N57" s="17">
        <v>100</v>
      </c>
      <c r="O57" s="17">
        <v>1.9331770833819348</v>
      </c>
      <c r="P57" s="1" t="s">
        <v>578</v>
      </c>
      <c r="Q57" s="26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1:30" x14ac:dyDescent="0.2">
      <c r="B58" s="29" t="s">
        <v>93</v>
      </c>
      <c r="C58" s="17">
        <v>72.976884132112701</v>
      </c>
      <c r="D58" s="17">
        <v>0.65850424185912126</v>
      </c>
      <c r="E58" s="17">
        <v>12.693782786975255</v>
      </c>
      <c r="F58" s="17">
        <v>3.9265541461589204</v>
      </c>
      <c r="G58" s="17">
        <v>0.11253468808529789</v>
      </c>
      <c r="H58" s="17">
        <v>1.1134645681549322</v>
      </c>
      <c r="I58" s="17">
        <v>1.876224372847993</v>
      </c>
      <c r="J58" s="17">
        <v>3.967854521050771</v>
      </c>
      <c r="K58" s="17">
        <v>2.5261978513658496</v>
      </c>
      <c r="L58" s="17">
        <v>6.5777529504730911E-2</v>
      </c>
      <c r="M58" s="17">
        <v>0.10620687704100255</v>
      </c>
      <c r="N58" s="17">
        <v>100</v>
      </c>
      <c r="O58" s="17">
        <v>3.1671099772158868</v>
      </c>
      <c r="Q58" s="26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spans="1:30" x14ac:dyDescent="0.2">
      <c r="B59" s="29" t="s">
        <v>107</v>
      </c>
      <c r="C59" s="17">
        <v>77.355586730878358</v>
      </c>
      <c r="D59" s="17">
        <v>0.4229001797515835</v>
      </c>
      <c r="E59" s="17">
        <v>12.83628072745859</v>
      </c>
      <c r="F59" s="17">
        <v>1.9331366610216154</v>
      </c>
      <c r="G59" s="17">
        <v>6.4923102928928167E-2</v>
      </c>
      <c r="H59" s="17">
        <v>0.38854762919222963</v>
      </c>
      <c r="I59" s="17">
        <v>1.9071589102319197</v>
      </c>
      <c r="J59" s="41">
        <v>2.2935007451279534</v>
      </c>
      <c r="K59" s="17">
        <v>2.5435813919416712</v>
      </c>
      <c r="L59" s="17">
        <v>3.1933757758856728E-2</v>
      </c>
      <c r="M59" s="17">
        <v>0.28742877843450626</v>
      </c>
      <c r="N59" s="17">
        <v>100</v>
      </c>
      <c r="O59" s="17">
        <v>2.7233801977452003</v>
      </c>
      <c r="P59" s="1" t="s">
        <v>580</v>
      </c>
      <c r="Q59" s="26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spans="1:30" x14ac:dyDescent="0.2">
      <c r="B60" s="29" t="s">
        <v>111</v>
      </c>
      <c r="C60" s="17">
        <v>78.13047816934791</v>
      </c>
      <c r="D60" s="17">
        <v>0.73195687935496934</v>
      </c>
      <c r="E60" s="17">
        <v>12.040846862317752</v>
      </c>
      <c r="F60" s="41">
        <v>2.4810784842161668</v>
      </c>
      <c r="G60" s="17">
        <v>9.4666182098284118E-2</v>
      </c>
      <c r="H60" s="17">
        <v>0.23549230013309025</v>
      </c>
      <c r="I60" s="17">
        <v>1.3929990178583191</v>
      </c>
      <c r="J60" s="41">
        <v>2.0752143197700499</v>
      </c>
      <c r="K60" s="17">
        <v>2.2377417419743955</v>
      </c>
      <c r="L60" s="17">
        <v>0.35943346906305429</v>
      </c>
      <c r="M60" s="17">
        <v>0.28411937300979651</v>
      </c>
      <c r="N60" s="17">
        <v>100</v>
      </c>
      <c r="O60" s="17">
        <v>3.1671099772158868</v>
      </c>
      <c r="P60" s="1" t="s">
        <v>580</v>
      </c>
      <c r="Q60" s="26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1:30" x14ac:dyDescent="0.2">
      <c r="B61" s="23"/>
      <c r="Q61" s="26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spans="1:30" x14ac:dyDescent="0.2">
      <c r="A62" s="1" t="s">
        <v>75</v>
      </c>
      <c r="B62" s="29" t="s">
        <v>48</v>
      </c>
      <c r="C62" s="17">
        <v>74.51907883254745</v>
      </c>
      <c r="D62" s="17">
        <v>0.10315901538703957</v>
      </c>
      <c r="E62" s="17">
        <v>13.139842438410888</v>
      </c>
      <c r="F62" s="17">
        <v>1.5954213388933922</v>
      </c>
      <c r="G62" s="17">
        <v>7.3659395186911988E-2</v>
      </c>
      <c r="H62" s="17">
        <v>5.5614500478371971E-2</v>
      </c>
      <c r="I62" s="17">
        <v>0.76666943823412559</v>
      </c>
      <c r="J62" s="17">
        <v>4.2656688547069503</v>
      </c>
      <c r="K62" s="17">
        <v>5.2525119409195931</v>
      </c>
      <c r="L62" s="17">
        <v>0</v>
      </c>
      <c r="M62" s="17">
        <v>0.29490050250943706</v>
      </c>
      <c r="N62" s="17">
        <v>99.269074657013135</v>
      </c>
      <c r="O62" s="17">
        <v>0.73092534298686473</v>
      </c>
      <c r="Q62" s="26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1:30" x14ac:dyDescent="0.2">
      <c r="B63" s="29" t="s">
        <v>49</v>
      </c>
      <c r="C63" s="17">
        <v>74.837727166395624</v>
      </c>
      <c r="D63" s="17">
        <v>4.1976677038127255E-2</v>
      </c>
      <c r="E63" s="17">
        <v>13.021138621233238</v>
      </c>
      <c r="F63" s="17">
        <v>1.5091426772988625</v>
      </c>
      <c r="G63" s="17">
        <v>9.4640744230853821E-2</v>
      </c>
      <c r="H63" s="17">
        <v>3.4621784908158842E-2</v>
      </c>
      <c r="I63" s="17">
        <v>0.73556897156570178</v>
      </c>
      <c r="J63" s="17">
        <v>4.174281226526162</v>
      </c>
      <c r="K63" s="17">
        <v>5.2582079542555622</v>
      </c>
      <c r="L63" s="17">
        <v>3.0881613467709245E-2</v>
      </c>
      <c r="M63" s="17">
        <v>0.33804408029930294</v>
      </c>
      <c r="N63" s="17">
        <v>100.01506303575911</v>
      </c>
      <c r="O63" s="17">
        <v>-1.5063035759112609E-2</v>
      </c>
      <c r="Q63" s="2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spans="1:30" x14ac:dyDescent="0.2">
      <c r="B64" s="29" t="s">
        <v>50</v>
      </c>
      <c r="C64" s="17">
        <v>74.810232601036574</v>
      </c>
      <c r="D64" s="17">
        <v>8.014521820046093E-2</v>
      </c>
      <c r="E64" s="17">
        <v>13.020687047749254</v>
      </c>
      <c r="F64" s="17">
        <v>1.5997360947740937</v>
      </c>
      <c r="G64" s="17">
        <v>5.1600811463811715E-2</v>
      </c>
      <c r="H64" s="17">
        <v>6.5474232679197844E-2</v>
      </c>
      <c r="I64" s="17">
        <v>0.73752123328124897</v>
      </c>
      <c r="J64" s="17">
        <v>3.9929187448735046</v>
      </c>
      <c r="K64" s="17">
        <v>5.3053617823489354</v>
      </c>
      <c r="L64" s="17">
        <v>4.4576608646793477E-2</v>
      </c>
      <c r="M64" s="17">
        <v>0.37625645829455323</v>
      </c>
      <c r="N64" s="17">
        <v>100.05462808701769</v>
      </c>
      <c r="O64" s="17">
        <v>-5.4628087017690063E-2</v>
      </c>
      <c r="Q64" s="2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spans="1:15" x14ac:dyDescent="0.2">
      <c r="B65" s="29" t="s">
        <v>62</v>
      </c>
      <c r="C65" s="17">
        <v>75.014531243923003</v>
      </c>
      <c r="D65" s="17">
        <v>5.1881061672264896E-2</v>
      </c>
      <c r="E65" s="17">
        <v>13.075317407592932</v>
      </c>
      <c r="F65" s="17">
        <v>1.5165140970455968</v>
      </c>
      <c r="G65" s="17">
        <v>8.0426361095232102E-2</v>
      </c>
      <c r="H65" s="17">
        <v>3.4136388627234171E-2</v>
      </c>
      <c r="I65" s="17">
        <v>0.7114370830078659</v>
      </c>
      <c r="J65" s="17">
        <v>3.9974435130045345</v>
      </c>
      <c r="K65" s="17">
        <v>5.2348738308194083</v>
      </c>
      <c r="L65" s="17">
        <v>3.4375667632705768E-2</v>
      </c>
      <c r="M65" s="17">
        <v>0.32161931977559666</v>
      </c>
      <c r="N65" s="17">
        <v>99.855319706564472</v>
      </c>
      <c r="O65" s="17">
        <v>0.14468029343552757</v>
      </c>
    </row>
    <row r="66" spans="1:15" x14ac:dyDescent="0.2">
      <c r="B66" s="29" t="s">
        <v>63</v>
      </c>
      <c r="C66" s="17">
        <v>74.485184424793331</v>
      </c>
      <c r="D66" s="17">
        <v>9.0511043483889303E-2</v>
      </c>
      <c r="E66" s="17">
        <v>13.235576303572413</v>
      </c>
      <c r="F66" s="17">
        <v>1.6851146900217457</v>
      </c>
      <c r="G66" s="17">
        <v>8.1910369492313576E-2</v>
      </c>
      <c r="H66" s="17">
        <v>3.268175933379671E-2</v>
      </c>
      <c r="I66" s="17">
        <v>0.72723011809490246</v>
      </c>
      <c r="J66" s="17">
        <v>4.1104827052058459</v>
      </c>
      <c r="K66" s="17">
        <v>5.2758985872364565</v>
      </c>
      <c r="L66" s="17">
        <v>0</v>
      </c>
      <c r="M66" s="17">
        <v>0.3556685898241001</v>
      </c>
      <c r="N66" s="17">
        <v>99.771250583442722</v>
      </c>
      <c r="O66" s="17">
        <v>0.2287494165572781</v>
      </c>
    </row>
    <row r="67" spans="1:15" x14ac:dyDescent="0.2">
      <c r="B67" s="29" t="s">
        <v>64</v>
      </c>
      <c r="C67" s="17">
        <v>74.443887150638687</v>
      </c>
      <c r="D67" s="17">
        <v>8.1533050390821357E-2</v>
      </c>
      <c r="E67" s="17">
        <v>13.11731451028615</v>
      </c>
      <c r="F67" s="17">
        <v>1.5606336120178814</v>
      </c>
      <c r="G67" s="17">
        <v>5.0669909356136404E-2</v>
      </c>
      <c r="H67" s="17">
        <v>3.1927282833584418E-2</v>
      </c>
      <c r="I67" s="17">
        <v>0.74257507376292531</v>
      </c>
      <c r="J67" s="17">
        <v>4.4276678698478786</v>
      </c>
      <c r="K67" s="17">
        <v>5.2339218701772445</v>
      </c>
      <c r="L67" s="17">
        <v>5.5415597221097887E-2</v>
      </c>
      <c r="M67" s="17">
        <v>0.32864918970812068</v>
      </c>
      <c r="N67" s="17">
        <v>99.046950424279927</v>
      </c>
      <c r="O67" s="17">
        <v>0.95304957572007254</v>
      </c>
    </row>
    <row r="68" spans="1:15" x14ac:dyDescent="0.2">
      <c r="B68" s="30" t="s">
        <v>20</v>
      </c>
      <c r="C68" s="16">
        <f>AVERAGE(C62:C67)</f>
        <v>74.685106903222447</v>
      </c>
      <c r="D68" s="16">
        <f t="shared" ref="D68:O68" si="6">AVERAGE(D62:D67)</f>
        <v>7.4867677695433898E-2</v>
      </c>
      <c r="E68" s="16">
        <f t="shared" si="6"/>
        <v>13.10164605480748</v>
      </c>
      <c r="F68" s="16">
        <f t="shared" si="6"/>
        <v>1.5777604183419287</v>
      </c>
      <c r="G68" s="16">
        <f t="shared" si="6"/>
        <v>7.2151265137543261E-2</v>
      </c>
      <c r="H68" s="16">
        <f t="shared" si="6"/>
        <v>4.2409324810057325E-2</v>
      </c>
      <c r="I68" s="16">
        <f t="shared" si="6"/>
        <v>0.73683365299112824</v>
      </c>
      <c r="J68" s="16">
        <f t="shared" si="6"/>
        <v>4.1614104856941454</v>
      </c>
      <c r="K68" s="16">
        <f t="shared" si="6"/>
        <v>5.2601293276262</v>
      </c>
      <c r="L68" s="16">
        <f t="shared" si="6"/>
        <v>2.7541581161384398E-2</v>
      </c>
      <c r="M68" s="16">
        <f t="shared" si="6"/>
        <v>0.3358563567351851</v>
      </c>
      <c r="N68" s="16">
        <f t="shared" si="6"/>
        <v>99.668714415679517</v>
      </c>
      <c r="O68" s="16">
        <f t="shared" si="6"/>
        <v>0.33128558432049005</v>
      </c>
    </row>
    <row r="69" spans="1:15" x14ac:dyDescent="0.2">
      <c r="B69" s="30" t="s">
        <v>61</v>
      </c>
      <c r="C69" s="16">
        <f>STDEV(C62:C67)</f>
        <v>0.2337481841214557</v>
      </c>
      <c r="D69" s="16">
        <f t="shared" ref="D69:O69" si="7">STDEV(D62:D67)</f>
        <v>2.3356355661609714E-2</v>
      </c>
      <c r="E69" s="16">
        <f t="shared" si="7"/>
        <v>8.1695509179410486E-2</v>
      </c>
      <c r="F69" s="16">
        <f t="shared" si="7"/>
        <v>6.4919352846941586E-2</v>
      </c>
      <c r="G69" s="16">
        <f t="shared" si="7"/>
        <v>1.7638243957118226E-2</v>
      </c>
      <c r="H69" s="16">
        <f t="shared" si="7"/>
        <v>1.4421876607038307E-2</v>
      </c>
      <c r="I69" s="16">
        <f t="shared" si="7"/>
        <v>1.8234164794286741E-2</v>
      </c>
      <c r="J69" s="16">
        <f t="shared" si="7"/>
        <v>0.16721048518462819</v>
      </c>
      <c r="K69" s="16">
        <f t="shared" si="7"/>
        <v>2.7133122598271081E-2</v>
      </c>
      <c r="L69" s="16">
        <f t="shared" si="7"/>
        <v>2.2987348138351439E-2</v>
      </c>
      <c r="M69" s="16">
        <f t="shared" si="7"/>
        <v>2.8147814812788465E-2</v>
      </c>
      <c r="N69" s="16">
        <f t="shared" si="7"/>
        <v>0.41485523411200759</v>
      </c>
      <c r="O69" s="16">
        <f t="shared" si="7"/>
        <v>0.41485523411200753</v>
      </c>
    </row>
    <row r="70" spans="1:15" x14ac:dyDescent="0.2">
      <c r="B70" s="29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x14ac:dyDescent="0.2">
      <c r="A71" s="1" t="s">
        <v>75</v>
      </c>
      <c r="B71" s="29" t="s">
        <v>54</v>
      </c>
      <c r="C71" s="17">
        <v>75.197346915315833</v>
      </c>
      <c r="D71" s="17">
        <v>0.31071550613970056</v>
      </c>
      <c r="E71" s="17">
        <v>13.06157494512863</v>
      </c>
      <c r="F71" s="17">
        <v>1.643313821514568</v>
      </c>
      <c r="G71" s="17">
        <v>6.4593795613146127E-2</v>
      </c>
      <c r="H71" s="17">
        <v>0.32118168621084442</v>
      </c>
      <c r="I71" s="17">
        <v>1.5561353161644416</v>
      </c>
      <c r="J71" s="17">
        <v>3.7651548817161</v>
      </c>
      <c r="K71" s="17">
        <v>3.8236318882160383</v>
      </c>
      <c r="L71" s="17">
        <v>3.6007580007906249E-2</v>
      </c>
      <c r="M71" s="17">
        <v>0.28461916039208252</v>
      </c>
      <c r="N71" s="17">
        <v>100</v>
      </c>
      <c r="O71" s="17">
        <v>4.4923751354155712</v>
      </c>
    </row>
    <row r="72" spans="1:15" x14ac:dyDescent="0.2">
      <c r="B72" s="29" t="s">
        <v>55</v>
      </c>
      <c r="C72" s="17">
        <v>74.871216572446841</v>
      </c>
      <c r="D72" s="17">
        <v>0.33956329693268245</v>
      </c>
      <c r="E72" s="17">
        <v>13.163863629349388</v>
      </c>
      <c r="F72" s="17">
        <v>1.6656084134755205</v>
      </c>
      <c r="G72" s="17">
        <v>9.6202946453944643E-2</v>
      </c>
      <c r="H72" s="17">
        <v>0.34089416566242448</v>
      </c>
      <c r="I72" s="17">
        <v>1.5532773500384236</v>
      </c>
      <c r="J72" s="17">
        <v>3.7288321987038184</v>
      </c>
      <c r="K72" s="17">
        <v>3.868866835204158</v>
      </c>
      <c r="L72" s="17">
        <v>0.10803054429902555</v>
      </c>
      <c r="M72" s="17">
        <v>0.34049280918723457</v>
      </c>
      <c r="N72" s="17">
        <v>100</v>
      </c>
      <c r="O72" s="17">
        <v>4.5736088302150222</v>
      </c>
    </row>
    <row r="73" spans="1:15" x14ac:dyDescent="0.2">
      <c r="B73" s="29" t="s">
        <v>56</v>
      </c>
      <c r="C73" s="17">
        <v>75.403278985799219</v>
      </c>
      <c r="D73" s="17">
        <v>0.42256632847038234</v>
      </c>
      <c r="E73" s="17">
        <v>12.994705836902146</v>
      </c>
      <c r="F73" s="17">
        <v>1.7222919077898684</v>
      </c>
      <c r="G73" s="17">
        <v>8.1470032142047635E-2</v>
      </c>
      <c r="H73" s="17">
        <v>0.34710797899994217</v>
      </c>
      <c r="I73" s="17">
        <v>1.5345389789346306</v>
      </c>
      <c r="J73" s="17">
        <v>3.4582335816172129</v>
      </c>
      <c r="K73" s="17">
        <v>3.6626800773213883</v>
      </c>
      <c r="L73" s="17">
        <v>9.212110856592251E-2</v>
      </c>
      <c r="M73" s="17">
        <v>0.36291127955353503</v>
      </c>
      <c r="N73" s="17">
        <v>100</v>
      </c>
      <c r="O73" s="17">
        <v>6.6650668954936378</v>
      </c>
    </row>
    <row r="74" spans="1:15" x14ac:dyDescent="0.2">
      <c r="B74" s="29" t="s">
        <v>66</v>
      </c>
      <c r="C74" s="17">
        <v>75.156514569330454</v>
      </c>
      <c r="D74" s="17">
        <v>0.32490842064103925</v>
      </c>
      <c r="E74" s="17">
        <v>13.252439949100426</v>
      </c>
      <c r="F74" s="17">
        <v>1.7313543178888415</v>
      </c>
      <c r="G74" s="17">
        <v>8.9824981732914574E-2</v>
      </c>
      <c r="H74" s="17">
        <v>0.34554820580418966</v>
      </c>
      <c r="I74" s="17">
        <v>1.4655666797792664</v>
      </c>
      <c r="J74" s="17">
        <v>3.6576670589228755</v>
      </c>
      <c r="K74" s="17">
        <v>3.7325220946765318</v>
      </c>
      <c r="L74" s="17">
        <v>7.3021833042866725E-3</v>
      </c>
      <c r="M74" s="17">
        <v>0.30533723515188849</v>
      </c>
      <c r="N74" s="17">
        <v>100</v>
      </c>
      <c r="O74" s="17">
        <v>5.7645230013080067</v>
      </c>
    </row>
    <row r="75" spans="1:15" x14ac:dyDescent="0.2">
      <c r="B75" s="29" t="s">
        <v>65</v>
      </c>
      <c r="C75" s="17">
        <v>74.932809347011911</v>
      </c>
      <c r="D75" s="17">
        <v>0.33657764550193897</v>
      </c>
      <c r="E75" s="17">
        <v>13.315254037402729</v>
      </c>
      <c r="F75" s="17">
        <v>1.7737393122848646</v>
      </c>
      <c r="G75" s="17">
        <v>7.2175732015987371E-2</v>
      </c>
      <c r="H75" s="17">
        <v>0.3357591578192835</v>
      </c>
      <c r="I75" s="17">
        <v>1.4871898273474073</v>
      </c>
      <c r="J75" s="17">
        <v>3.5884134886984422</v>
      </c>
      <c r="K75" s="17">
        <v>3.7938214090575761</v>
      </c>
      <c r="L75" s="17">
        <v>0.12614091118353382</v>
      </c>
      <c r="M75" s="17">
        <v>0.30744325679793943</v>
      </c>
      <c r="N75" s="17">
        <v>100</v>
      </c>
      <c r="O75" s="17">
        <v>4.580115675522535</v>
      </c>
    </row>
    <row r="76" spans="1:15" x14ac:dyDescent="0.2">
      <c r="B76" s="30" t="s">
        <v>20</v>
      </c>
      <c r="C76" s="16">
        <f t="shared" ref="C76:O76" si="8">AVERAGE(C71:C75)</f>
        <v>75.112233277980849</v>
      </c>
      <c r="D76" s="16">
        <f t="shared" si="8"/>
        <v>0.34686623953714868</v>
      </c>
      <c r="E76" s="16">
        <f t="shared" si="8"/>
        <v>13.157567679576664</v>
      </c>
      <c r="F76" s="16">
        <f t="shared" si="8"/>
        <v>1.7072615545907326</v>
      </c>
      <c r="G76" s="16">
        <f t="shared" si="8"/>
        <v>8.0853497591608064E-2</v>
      </c>
      <c r="H76" s="16">
        <f t="shared" si="8"/>
        <v>0.33809823889933688</v>
      </c>
      <c r="I76" s="16">
        <f t="shared" si="8"/>
        <v>1.519341630452834</v>
      </c>
      <c r="J76" s="16">
        <f t="shared" si="8"/>
        <v>3.6396602419316899</v>
      </c>
      <c r="K76" s="16">
        <f t="shared" si="8"/>
        <v>3.7763044608951382</v>
      </c>
      <c r="L76" s="16">
        <f t="shared" si="8"/>
        <v>7.3920465472134961E-2</v>
      </c>
      <c r="M76" s="16">
        <f t="shared" si="8"/>
        <v>0.32016074821653601</v>
      </c>
      <c r="N76" s="16">
        <f t="shared" si="8"/>
        <v>100</v>
      </c>
      <c r="O76" s="16">
        <f t="shared" si="8"/>
        <v>5.2151379075909547</v>
      </c>
    </row>
    <row r="77" spans="1:15" x14ac:dyDescent="0.2">
      <c r="B77" s="30" t="s">
        <v>61</v>
      </c>
      <c r="C77" s="16">
        <f t="shared" ref="C77:O77" si="9">STDEV(C71:C75)</f>
        <v>0.21458958934107719</v>
      </c>
      <c r="D77" s="16">
        <f t="shared" si="9"/>
        <v>4.3814132817655796E-2</v>
      </c>
      <c r="E77" s="16">
        <f t="shared" si="9"/>
        <v>0.13195070937544276</v>
      </c>
      <c r="F77" s="16">
        <f t="shared" si="9"/>
        <v>5.2559399157080793E-2</v>
      </c>
      <c r="G77" s="16">
        <f t="shared" si="9"/>
        <v>1.280775884709061E-2</v>
      </c>
      <c r="H77" s="16">
        <f t="shared" si="9"/>
        <v>1.0441930918058347E-2</v>
      </c>
      <c r="I77" s="16">
        <f t="shared" si="9"/>
        <v>4.0810083116149885E-2</v>
      </c>
      <c r="J77" s="16">
        <f t="shared" si="9"/>
        <v>0.12203140040288529</v>
      </c>
      <c r="K77" s="16">
        <f t="shared" si="9"/>
        <v>8.0532475004929688E-2</v>
      </c>
      <c r="L77" s="16">
        <f t="shared" si="9"/>
        <v>5.0242208948552573E-2</v>
      </c>
      <c r="M77" s="16">
        <f t="shared" si="9"/>
        <v>3.1167596256188625E-2</v>
      </c>
      <c r="N77" s="16">
        <f t="shared" si="9"/>
        <v>0</v>
      </c>
      <c r="O77" s="16">
        <f t="shared" si="9"/>
        <v>0.96712419941050143</v>
      </c>
    </row>
    <row r="78" spans="1:15" x14ac:dyDescent="0.2">
      <c r="B78" s="23"/>
    </row>
    <row r="79" spans="1:15" x14ac:dyDescent="0.2">
      <c r="A79" s="1" t="s">
        <v>76</v>
      </c>
      <c r="B79" s="23" t="s">
        <v>23</v>
      </c>
      <c r="C79" s="8">
        <v>74.9375</v>
      </c>
      <c r="D79" s="8">
        <v>5.0625000000000003E-2</v>
      </c>
      <c r="E79" s="8">
        <v>13.1189</v>
      </c>
      <c r="F79" s="8">
        <v>1.6126799999999999</v>
      </c>
      <c r="G79" s="8">
        <v>8.7226999999999999E-2</v>
      </c>
      <c r="H79" s="8">
        <v>4.7178999999999999E-2</v>
      </c>
      <c r="I79" s="8">
        <v>0.75378400000000001</v>
      </c>
      <c r="J79" s="8">
        <v>3.8565200000000002</v>
      </c>
      <c r="K79" s="8">
        <v>5.2942299999999998</v>
      </c>
      <c r="L79" s="8">
        <v>6.2088999999999998E-2</v>
      </c>
      <c r="M79" s="8">
        <v>0.28604000000000002</v>
      </c>
      <c r="N79" s="8">
        <v>100.042</v>
      </c>
      <c r="O79" s="8">
        <f>100-N79</f>
        <v>-4.2000000000001592E-2</v>
      </c>
    </row>
    <row r="80" spans="1:15" x14ac:dyDescent="0.2">
      <c r="B80" s="23" t="s">
        <v>24</v>
      </c>
      <c r="C80" s="8">
        <v>74.933099999999996</v>
      </c>
      <c r="D80" s="8">
        <v>8.2015000000000005E-2</v>
      </c>
      <c r="E80" s="8">
        <v>13.1717</v>
      </c>
      <c r="F80" s="8">
        <v>1.63151</v>
      </c>
      <c r="G80" s="8">
        <v>8.1485000000000002E-2</v>
      </c>
      <c r="H80" s="8">
        <v>4.7039999999999998E-2</v>
      </c>
      <c r="I80" s="8">
        <v>0.72869899999999999</v>
      </c>
      <c r="J80" s="8">
        <v>3.8846400000000001</v>
      </c>
      <c r="K80" s="8">
        <v>5.2985600000000002</v>
      </c>
      <c r="L80" s="8">
        <v>0</v>
      </c>
      <c r="M80" s="8">
        <v>0.400059</v>
      </c>
      <c r="N80" s="8">
        <v>100.169</v>
      </c>
      <c r="O80" s="8">
        <f t="shared" ref="O80:O84" si="10">100-N80</f>
        <v>-0.16899999999999693</v>
      </c>
    </row>
    <row r="81" spans="1:31" x14ac:dyDescent="0.2">
      <c r="B81" s="23" t="s">
        <v>25</v>
      </c>
      <c r="C81" s="8">
        <v>74.693799999999996</v>
      </c>
      <c r="D81" s="8">
        <v>6.4193E-2</v>
      </c>
      <c r="E81" s="8">
        <v>13.003500000000001</v>
      </c>
      <c r="F81" s="8">
        <v>1.5156400000000001</v>
      </c>
      <c r="G81" s="8">
        <v>5.2663000000000001E-2</v>
      </c>
      <c r="H81" s="8">
        <v>3.3928E-2</v>
      </c>
      <c r="I81" s="8">
        <v>0.71169499999999997</v>
      </c>
      <c r="J81" s="8">
        <v>3.96305</v>
      </c>
      <c r="K81" s="8">
        <v>5.0526299999999997</v>
      </c>
      <c r="L81" s="8">
        <v>9.7108E-2</v>
      </c>
      <c r="M81" s="8">
        <v>0.27681600000000001</v>
      </c>
      <c r="N81" s="8">
        <v>99.402500000000003</v>
      </c>
      <c r="O81" s="8">
        <f t="shared" si="10"/>
        <v>0.59749999999999659</v>
      </c>
    </row>
    <row r="82" spans="1:31" x14ac:dyDescent="0.2">
      <c r="B82" s="23" t="s">
        <v>26</v>
      </c>
      <c r="C82" s="8">
        <v>74.616500000000002</v>
      </c>
      <c r="D82" s="8">
        <v>5.1556999999999999E-2</v>
      </c>
      <c r="E82" s="8">
        <v>13.059900000000001</v>
      </c>
      <c r="F82" s="8">
        <v>1.5317099999999999</v>
      </c>
      <c r="G82" s="8">
        <v>6.3198000000000004E-2</v>
      </c>
      <c r="H82" s="8">
        <v>4.9159000000000001E-2</v>
      </c>
      <c r="I82" s="8">
        <v>0.74955899999999998</v>
      </c>
      <c r="J82" s="8">
        <v>3.8300399999999999</v>
      </c>
      <c r="K82" s="8">
        <v>5.2141299999999999</v>
      </c>
      <c r="L82" s="8">
        <v>0</v>
      </c>
      <c r="M82" s="8">
        <v>0.305199</v>
      </c>
      <c r="N82" s="8">
        <v>99.402100000000004</v>
      </c>
      <c r="O82" s="8">
        <f t="shared" si="10"/>
        <v>0.59789999999999566</v>
      </c>
    </row>
    <row r="83" spans="1:31" x14ac:dyDescent="0.2">
      <c r="B83" s="23" t="s">
        <v>27</v>
      </c>
      <c r="C83" s="8">
        <v>74.680000000000007</v>
      </c>
      <c r="D83" s="8">
        <v>7.6103000000000004E-2</v>
      </c>
      <c r="E83" s="8">
        <v>13.2342</v>
      </c>
      <c r="F83" s="8">
        <v>1.6155299999999999</v>
      </c>
      <c r="G83" s="8">
        <v>4.8173000000000001E-2</v>
      </c>
      <c r="H83" s="8">
        <v>3.6483000000000002E-2</v>
      </c>
      <c r="I83" s="8">
        <v>0.70757000000000003</v>
      </c>
      <c r="J83" s="8">
        <v>3.8972799999999999</v>
      </c>
      <c r="K83" s="8">
        <v>5.1953800000000001</v>
      </c>
      <c r="L83" s="8">
        <v>0</v>
      </c>
      <c r="M83" s="8">
        <v>0.28398000000000001</v>
      </c>
      <c r="N83" s="8">
        <v>99.710700000000003</v>
      </c>
      <c r="O83" s="8">
        <f t="shared" si="10"/>
        <v>0.28929999999999723</v>
      </c>
      <c r="Q83" s="4"/>
    </row>
    <row r="84" spans="1:31" x14ac:dyDescent="0.2">
      <c r="B84" s="23" t="s">
        <v>28</v>
      </c>
      <c r="C84" s="8">
        <v>74.231399999999994</v>
      </c>
      <c r="D84" s="8">
        <v>6.0271999999999999E-2</v>
      </c>
      <c r="E84" s="8">
        <v>13.0586</v>
      </c>
      <c r="F84" s="8">
        <v>1.65395</v>
      </c>
      <c r="G84" s="8">
        <v>8.5783999999999999E-2</v>
      </c>
      <c r="H84" s="8">
        <v>5.8081000000000001E-2</v>
      </c>
      <c r="I84" s="8">
        <v>0.72174000000000005</v>
      </c>
      <c r="J84" s="8">
        <v>4.10215</v>
      </c>
      <c r="K84" s="8">
        <v>4.9935799999999997</v>
      </c>
      <c r="L84" s="8">
        <v>0</v>
      </c>
      <c r="M84" s="8">
        <v>0.25784400000000002</v>
      </c>
      <c r="N84" s="8">
        <v>99.165300000000002</v>
      </c>
      <c r="O84" s="8">
        <f t="shared" si="10"/>
        <v>0.834699999999998</v>
      </c>
    </row>
    <row r="85" spans="1:31" x14ac:dyDescent="0.2">
      <c r="B85" s="24" t="s">
        <v>20</v>
      </c>
      <c r="C85" s="18">
        <f>AVERAGE(C79:C84)</f>
        <v>74.68204999999999</v>
      </c>
      <c r="D85" s="18">
        <f t="shared" ref="D85:O85" si="11">AVERAGE(D79:D84)</f>
        <v>6.4127500000000004E-2</v>
      </c>
      <c r="E85" s="18">
        <f t="shared" si="11"/>
        <v>13.107799999999999</v>
      </c>
      <c r="F85" s="18">
        <f t="shared" si="11"/>
        <v>1.5935033333333333</v>
      </c>
      <c r="G85" s="18">
        <f t="shared" si="11"/>
        <v>6.9754999999999998E-2</v>
      </c>
      <c r="H85" s="18">
        <f t="shared" si="11"/>
        <v>4.5311666666666667E-2</v>
      </c>
      <c r="I85" s="18">
        <f t="shared" si="11"/>
        <v>0.72884116666666665</v>
      </c>
      <c r="J85" s="18">
        <f t="shared" si="11"/>
        <v>3.9222799999999993</v>
      </c>
      <c r="K85" s="18">
        <f t="shared" si="11"/>
        <v>5.1747516666666664</v>
      </c>
      <c r="L85" s="18">
        <f t="shared" si="11"/>
        <v>2.6532833333333335E-2</v>
      </c>
      <c r="M85" s="18">
        <f t="shared" si="11"/>
        <v>0.3016563333333333</v>
      </c>
      <c r="N85" s="18">
        <f t="shared" si="11"/>
        <v>99.648600000000002</v>
      </c>
      <c r="O85" s="18">
        <f t="shared" si="11"/>
        <v>0.35139999999999816</v>
      </c>
    </row>
    <row r="86" spans="1:31" x14ac:dyDescent="0.2">
      <c r="B86" s="24" t="s">
        <v>21</v>
      </c>
      <c r="C86" s="18">
        <f>STDEV(C79:C84)</f>
        <v>0.25915450796773859</v>
      </c>
      <c r="D86" s="18">
        <f t="shared" ref="D86:O86" si="12">STDEV(D79:D84)</f>
        <v>1.2795150671250368E-2</v>
      </c>
      <c r="E86" s="18">
        <f t="shared" si="12"/>
        <v>8.4589502894862292E-2</v>
      </c>
      <c r="F86" s="18">
        <f t="shared" si="12"/>
        <v>5.6271377330456958E-2</v>
      </c>
      <c r="G86" s="18">
        <f>STDEV(G79:G84)</f>
        <v>1.7324583469740362E-2</v>
      </c>
      <c r="H86" s="18">
        <f t="shared" si="12"/>
        <v>8.8528542214738066E-3</v>
      </c>
      <c r="I86" s="18">
        <f t="shared" si="12"/>
        <v>1.9226408374074092E-2</v>
      </c>
      <c r="J86" s="18">
        <f t="shared" si="12"/>
        <v>9.8883542210015898E-2</v>
      </c>
      <c r="K86" s="18">
        <f>STDEV(K79:K84)</f>
        <v>0.1259496971678245</v>
      </c>
      <c r="L86" s="18">
        <f t="shared" si="12"/>
        <v>4.2570083666427845E-2</v>
      </c>
      <c r="M86" s="18">
        <f t="shared" si="12"/>
        <v>5.057374938312062E-2</v>
      </c>
      <c r="N86" s="18">
        <f t="shared" si="12"/>
        <v>0.39606627728197025</v>
      </c>
      <c r="O86" s="18">
        <f t="shared" si="12"/>
        <v>0.39606627728197025</v>
      </c>
    </row>
    <row r="87" spans="1:31" x14ac:dyDescent="0.2">
      <c r="B87" s="23"/>
      <c r="C87" s="4"/>
      <c r="D87" s="4"/>
      <c r="E87" s="4"/>
      <c r="F87" s="4"/>
      <c r="G87" s="4"/>
      <c r="H87" s="4"/>
      <c r="I87" s="4"/>
    </row>
    <row r="88" spans="1:31" x14ac:dyDescent="0.2">
      <c r="A88" s="1" t="s">
        <v>76</v>
      </c>
      <c r="B88" s="23" t="s">
        <v>29</v>
      </c>
      <c r="C88" s="8">
        <v>76.064745273529553</v>
      </c>
      <c r="D88" s="8">
        <v>0.29662533397712415</v>
      </c>
      <c r="E88" s="8">
        <v>13.151168800388838</v>
      </c>
      <c r="F88" s="8">
        <v>1.7719258308837564</v>
      </c>
      <c r="G88" s="8">
        <v>3.7776334956270349E-2</v>
      </c>
      <c r="H88" s="8">
        <v>0.31874305200347963</v>
      </c>
      <c r="I88" s="8">
        <v>1.4948429357903292</v>
      </c>
      <c r="J88" s="8">
        <v>3.0113207247677658</v>
      </c>
      <c r="K88" s="8">
        <v>3.6283321053962023</v>
      </c>
      <c r="L88" s="8">
        <v>6.9229439874763044E-2</v>
      </c>
      <c r="M88" s="8">
        <v>0.20045684381744885</v>
      </c>
      <c r="N88" s="8">
        <v>100</v>
      </c>
      <c r="O88" s="8">
        <v>4.5161989715315007</v>
      </c>
      <c r="P88" s="6"/>
    </row>
    <row r="89" spans="1:31" x14ac:dyDescent="0.2">
      <c r="B89" s="23" t="s">
        <v>30</v>
      </c>
      <c r="C89" s="8">
        <v>75.561629421611514</v>
      </c>
      <c r="D89" s="8">
        <v>0.34258697405900407</v>
      </c>
      <c r="E89" s="8">
        <v>13.116491806841028</v>
      </c>
      <c r="F89" s="8">
        <v>1.694605680469323</v>
      </c>
      <c r="G89" s="8">
        <v>4.9625766588193385E-2</v>
      </c>
      <c r="H89" s="8">
        <v>0.28888759651853774</v>
      </c>
      <c r="I89" s="8">
        <v>1.4996057547787418</v>
      </c>
      <c r="J89" s="8">
        <v>3.4063357669387222</v>
      </c>
      <c r="K89" s="8">
        <v>3.7511098870196236</v>
      </c>
      <c r="L89" s="8">
        <v>2.8056017190503119E-2</v>
      </c>
      <c r="M89" s="8">
        <v>0.33710057386848069</v>
      </c>
      <c r="N89" s="8">
        <v>100</v>
      </c>
      <c r="O89" s="8">
        <v>2.9729765488626607</v>
      </c>
      <c r="P89" s="6"/>
      <c r="S89" s="4"/>
      <c r="T89" s="4"/>
      <c r="U89" s="4"/>
      <c r="V89" s="4"/>
      <c r="W89" s="4"/>
      <c r="X89" s="4"/>
      <c r="Y89" s="4"/>
      <c r="Z89" s="4"/>
      <c r="AA89" s="4"/>
      <c r="AB89" s="4"/>
      <c r="AC89" s="8"/>
      <c r="AD89" s="4"/>
      <c r="AE89" s="4"/>
    </row>
    <row r="90" spans="1:31" x14ac:dyDescent="0.2">
      <c r="B90" s="23" t="s">
        <v>31</v>
      </c>
      <c r="C90" s="8">
        <v>76.037846089939279</v>
      </c>
      <c r="D90" s="8">
        <v>0.33101267466018991</v>
      </c>
      <c r="E90" s="8">
        <v>13.025756592639667</v>
      </c>
      <c r="F90" s="8">
        <v>1.7275517727085195</v>
      </c>
      <c r="G90" s="8">
        <v>5.7974077046639712E-2</v>
      </c>
      <c r="H90" s="8">
        <v>0.31113219284247018</v>
      </c>
      <c r="I90" s="8">
        <v>1.3576414630326099</v>
      </c>
      <c r="J90" s="8">
        <v>3.3910716058628698</v>
      </c>
      <c r="K90" s="8">
        <v>3.5335728358648373</v>
      </c>
      <c r="L90" s="8">
        <v>0</v>
      </c>
      <c r="M90" s="8">
        <v>0.29253214178484116</v>
      </c>
      <c r="N90" s="8">
        <v>100</v>
      </c>
      <c r="O90" s="8">
        <v>4.0154963518008335</v>
      </c>
      <c r="P90" s="6"/>
    </row>
    <row r="91" spans="1:31" x14ac:dyDescent="0.2">
      <c r="B91" s="23" t="s">
        <v>32</v>
      </c>
      <c r="C91" s="8">
        <v>75.634507363943982</v>
      </c>
      <c r="D91" s="8">
        <v>0.24477543049230896</v>
      </c>
      <c r="E91" s="8">
        <v>13.317738828782687</v>
      </c>
      <c r="F91" s="8">
        <v>1.834760370149624</v>
      </c>
      <c r="G91" s="8">
        <v>5.1819407358039221E-2</v>
      </c>
      <c r="H91" s="8">
        <v>0.2823972687540221</v>
      </c>
      <c r="I91" s="8">
        <v>1.4649627367897695</v>
      </c>
      <c r="J91" s="8">
        <v>3.2727788913061779</v>
      </c>
      <c r="K91" s="8">
        <v>3.684186315307346</v>
      </c>
      <c r="L91" s="8">
        <v>2.8429535063673336E-2</v>
      </c>
      <c r="M91" s="8">
        <v>0.23718518762031382</v>
      </c>
      <c r="N91" s="8">
        <v>100</v>
      </c>
      <c r="O91" s="8">
        <v>4.2329424882615445</v>
      </c>
      <c r="P91" s="6"/>
    </row>
    <row r="92" spans="1:31" x14ac:dyDescent="0.2">
      <c r="B92" s="23" t="s">
        <v>33</v>
      </c>
      <c r="C92" s="8">
        <v>76.129734369938816</v>
      </c>
      <c r="D92" s="8">
        <v>0.2790204973040562</v>
      </c>
      <c r="E92" s="8">
        <v>13.041835039970762</v>
      </c>
      <c r="F92" s="8">
        <v>1.7215944251869577</v>
      </c>
      <c r="G92" s="8">
        <v>6.7200896877582753E-2</v>
      </c>
      <c r="H92" s="8">
        <v>0.28959010781154593</v>
      </c>
      <c r="I92" s="8">
        <v>1.4411143693409409</v>
      </c>
      <c r="J92" s="8">
        <v>3.12223120084822</v>
      </c>
      <c r="K92" s="8">
        <v>3.7024135014404194</v>
      </c>
      <c r="L92" s="8">
        <v>8.083070475449974E-3</v>
      </c>
      <c r="M92" s="8">
        <v>0.25459804758594551</v>
      </c>
      <c r="N92" s="8">
        <v>100</v>
      </c>
      <c r="O92" s="8">
        <v>3.7355040483826207</v>
      </c>
      <c r="P92" s="6"/>
    </row>
    <row r="93" spans="1:31" x14ac:dyDescent="0.2">
      <c r="B93" s="23" t="s">
        <v>34</v>
      </c>
      <c r="C93" s="8">
        <v>75.623210704387148</v>
      </c>
      <c r="D93" s="8">
        <v>0.35262486413058269</v>
      </c>
      <c r="E93" s="8">
        <v>13.138038090846143</v>
      </c>
      <c r="F93" s="8">
        <v>1.8102616732152417</v>
      </c>
      <c r="G93" s="8">
        <v>2.4809512147828217E-2</v>
      </c>
      <c r="H93" s="8">
        <v>0.27419950838369112</v>
      </c>
      <c r="I93" s="8">
        <v>1.4834550471962624</v>
      </c>
      <c r="J93" s="8">
        <v>3.2669957754935428</v>
      </c>
      <c r="K93" s="8">
        <v>3.759202580205403</v>
      </c>
      <c r="L93" s="8">
        <v>2.8049786978403803E-2</v>
      </c>
      <c r="M93" s="8">
        <v>0.30886674354690125</v>
      </c>
      <c r="N93" s="8">
        <v>100</v>
      </c>
      <c r="O93" s="8">
        <v>2.931220793379326</v>
      </c>
      <c r="P93" s="6"/>
    </row>
    <row r="94" spans="1:31" x14ac:dyDescent="0.2">
      <c r="B94" s="24" t="s">
        <v>20</v>
      </c>
      <c r="C94" s="18">
        <f>AVERAGE(C88:C93)</f>
        <v>75.841945537225044</v>
      </c>
      <c r="D94" s="18">
        <f t="shared" ref="D94:O94" si="13">AVERAGE(D88:D93)</f>
        <v>0.30777429577054433</v>
      </c>
      <c r="E94" s="18">
        <f t="shared" si="13"/>
        <v>13.131838193244853</v>
      </c>
      <c r="F94" s="18">
        <f t="shared" si="13"/>
        <v>1.7601166254355707</v>
      </c>
      <c r="G94" s="18">
        <f t="shared" si="13"/>
        <v>4.8200999162425602E-2</v>
      </c>
      <c r="H94" s="18">
        <f t="shared" si="13"/>
        <v>0.29415828771895774</v>
      </c>
      <c r="I94" s="18">
        <f t="shared" si="13"/>
        <v>1.4569370511547757</v>
      </c>
      <c r="J94" s="18">
        <f t="shared" si="13"/>
        <v>3.2451223275362167</v>
      </c>
      <c r="K94" s="18">
        <f t="shared" si="13"/>
        <v>3.676469537538972</v>
      </c>
      <c r="L94" s="18">
        <f t="shared" si="13"/>
        <v>2.6974641597132212E-2</v>
      </c>
      <c r="M94" s="18">
        <f t="shared" si="13"/>
        <v>0.27178992303732186</v>
      </c>
      <c r="N94" s="18">
        <f t="shared" si="13"/>
        <v>100</v>
      </c>
      <c r="O94" s="18">
        <f t="shared" si="13"/>
        <v>3.7340565337030807</v>
      </c>
      <c r="P94" s="6"/>
    </row>
    <row r="95" spans="1:31" x14ac:dyDescent="0.2">
      <c r="B95" s="24" t="s">
        <v>21</v>
      </c>
      <c r="C95" s="18">
        <f t="shared" ref="C95:O95" si="14">STDEV(C88:C93)</f>
        <v>0.26087997577020811</v>
      </c>
      <c r="D95" s="18">
        <f t="shared" si="14"/>
        <v>4.1673626208720144E-2</v>
      </c>
      <c r="E95" s="18">
        <f t="shared" si="14"/>
        <v>0.10446103824688477</v>
      </c>
      <c r="F95" s="18">
        <f t="shared" si="14"/>
        <v>5.4884943710601021E-2</v>
      </c>
      <c r="G95" s="18">
        <f t="shared" si="14"/>
        <v>1.501643961243899E-2</v>
      </c>
      <c r="H95" s="18">
        <f t="shared" si="14"/>
        <v>1.7192131823084728E-2</v>
      </c>
      <c r="I95" s="18">
        <f t="shared" si="14"/>
        <v>5.3169655224066387E-2</v>
      </c>
      <c r="J95" s="18">
        <f t="shared" si="14"/>
        <v>0.15381789012263933</v>
      </c>
      <c r="K95" s="18">
        <f t="shared" si="14"/>
        <v>8.47174784376067E-2</v>
      </c>
      <c r="L95" s="18">
        <f t="shared" si="14"/>
        <v>2.3976791912123603E-2</v>
      </c>
      <c r="M95" s="18">
        <f t="shared" si="14"/>
        <v>5.0302818719162389E-2</v>
      </c>
      <c r="N95" s="18">
        <f t="shared" si="14"/>
        <v>0</v>
      </c>
      <c r="O95" s="18">
        <f t="shared" si="14"/>
        <v>0.657819492639653</v>
      </c>
      <c r="P95" s="6"/>
    </row>
    <row r="96" spans="1:31" x14ac:dyDescent="0.2">
      <c r="B96" s="2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6"/>
      <c r="S96" s="4"/>
      <c r="T96" s="4"/>
      <c r="U96" s="4"/>
      <c r="V96" s="4"/>
      <c r="W96" s="4"/>
      <c r="X96" s="4"/>
      <c r="Y96" s="4"/>
      <c r="Z96" s="4"/>
      <c r="AA96" s="4"/>
      <c r="AB96" s="4"/>
      <c r="AC96" s="8"/>
      <c r="AD96" s="4"/>
      <c r="AE96" s="4"/>
    </row>
    <row r="97" spans="1:16" x14ac:dyDescent="0.2">
      <c r="A97" s="1" t="s">
        <v>76</v>
      </c>
      <c r="B97" s="23" t="s">
        <v>114</v>
      </c>
      <c r="C97" s="8">
        <v>74.934079655187873</v>
      </c>
      <c r="D97" s="8">
        <v>0.5823114882723105</v>
      </c>
      <c r="E97" s="8">
        <v>13.557712140833011</v>
      </c>
      <c r="F97" s="8">
        <v>2.2479337100626147</v>
      </c>
      <c r="G97" s="8">
        <v>9.5560380022792851E-2</v>
      </c>
      <c r="H97" s="8">
        <v>0.47379335660213695</v>
      </c>
      <c r="I97" s="8">
        <v>2.2755591588891813</v>
      </c>
      <c r="J97" s="8">
        <v>3.4835120283905439</v>
      </c>
      <c r="K97" s="8">
        <v>2.0524841880279849</v>
      </c>
      <c r="L97" s="8">
        <v>2.472974378506727E-2</v>
      </c>
      <c r="M97" s="8">
        <v>0.35175841198277474</v>
      </c>
      <c r="N97" s="8">
        <v>100</v>
      </c>
      <c r="O97" s="8">
        <v>5.6826657481507201</v>
      </c>
      <c r="P97" s="1" t="s">
        <v>81</v>
      </c>
    </row>
    <row r="98" spans="1:16" x14ac:dyDescent="0.2">
      <c r="B98" s="23" t="s">
        <v>115</v>
      </c>
      <c r="C98" s="8">
        <v>75.679966022412756</v>
      </c>
      <c r="D98" s="8">
        <v>0.35235856191989645</v>
      </c>
      <c r="E98" s="8">
        <v>12.824800359100186</v>
      </c>
      <c r="F98" s="8">
        <v>1.9752430518128816</v>
      </c>
      <c r="G98" s="8">
        <v>7.0485737778430035E-2</v>
      </c>
      <c r="H98" s="8">
        <v>0.22709451181493664</v>
      </c>
      <c r="I98" s="8">
        <v>1.3890730337356603</v>
      </c>
      <c r="J98" s="8">
        <v>3.722329523897709</v>
      </c>
      <c r="K98" s="8">
        <v>3.3449651065382424</v>
      </c>
      <c r="L98" s="8">
        <v>0.14252951394040994</v>
      </c>
      <c r="M98" s="8">
        <v>0.35021816476676143</v>
      </c>
      <c r="N98" s="8">
        <v>100</v>
      </c>
      <c r="O98" s="8">
        <v>1.6332931213214101</v>
      </c>
      <c r="P98" s="6"/>
    </row>
    <row r="99" spans="1:16" x14ac:dyDescent="0.2">
      <c r="B99" s="23" t="s">
        <v>116</v>
      </c>
      <c r="C99" s="8">
        <v>75.743070387862886</v>
      </c>
      <c r="D99" s="8">
        <v>0.4530604955181477</v>
      </c>
      <c r="E99" s="8">
        <v>12.979361489411367</v>
      </c>
      <c r="F99" s="8">
        <v>1.7873079774777034</v>
      </c>
      <c r="G99" s="8">
        <v>1.2216083893794459E-2</v>
      </c>
      <c r="H99" s="8">
        <v>0.42921920010044251</v>
      </c>
      <c r="I99" s="8">
        <v>1.9978366122814759</v>
      </c>
      <c r="J99" s="8">
        <v>3.9758021058223423</v>
      </c>
      <c r="K99" s="8">
        <v>2.3476350787881479</v>
      </c>
      <c r="L99" s="8">
        <v>7.8966449871034461E-2</v>
      </c>
      <c r="M99" s="8">
        <v>0.25256758509258831</v>
      </c>
      <c r="N99" s="8">
        <v>100</v>
      </c>
      <c r="O99" s="8">
        <v>1.1767756650195522</v>
      </c>
      <c r="P99" s="6"/>
    </row>
    <row r="100" spans="1:16" x14ac:dyDescent="0.2">
      <c r="B100" s="23" t="s">
        <v>117</v>
      </c>
      <c r="C100" s="8">
        <v>76.033565259827867</v>
      </c>
      <c r="D100" s="8">
        <v>0.45573812274281977</v>
      </c>
      <c r="E100" s="8">
        <v>12.699904682786279</v>
      </c>
      <c r="F100" s="8">
        <v>1.9715014775973663</v>
      </c>
      <c r="G100" s="8">
        <v>3.2567915503005196E-2</v>
      </c>
      <c r="H100" s="8">
        <v>0.44135300105421321</v>
      </c>
      <c r="I100" s="8">
        <v>2.0851439389373576</v>
      </c>
      <c r="J100" s="8">
        <v>3.8348782155310137</v>
      </c>
      <c r="K100" s="8">
        <v>2.0923159496078205</v>
      </c>
      <c r="L100" s="8">
        <v>4.4137663375413021E-2</v>
      </c>
      <c r="M100" s="8">
        <v>0.39904122062456115</v>
      </c>
      <c r="N100" s="8">
        <v>100</v>
      </c>
      <c r="O100" s="8">
        <v>2.7508692043323917</v>
      </c>
      <c r="P100" s="6"/>
    </row>
    <row r="101" spans="1:16" x14ac:dyDescent="0.2">
      <c r="B101" s="23" t="s">
        <v>118</v>
      </c>
      <c r="C101" s="8">
        <v>76.119751547413244</v>
      </c>
      <c r="D101" s="8">
        <v>0.39938090557463796</v>
      </c>
      <c r="E101" s="8">
        <v>12.904521421132852</v>
      </c>
      <c r="F101" s="8">
        <v>2.067560458778567</v>
      </c>
      <c r="G101" s="8">
        <v>4.9112414666504879E-2</v>
      </c>
      <c r="H101" s="8">
        <v>0.48158047894947342</v>
      </c>
      <c r="I101" s="8">
        <v>2.1313885736326283</v>
      </c>
      <c r="J101" s="8">
        <v>3.4722677777684585</v>
      </c>
      <c r="K101" s="8">
        <v>2.1386797239573747</v>
      </c>
      <c r="L101" s="8">
        <v>7.9485758344744958E-2</v>
      </c>
      <c r="M101" s="8">
        <v>0.20179480504235914</v>
      </c>
      <c r="N101" s="8">
        <v>100</v>
      </c>
      <c r="O101" s="8">
        <v>1.8317084461732107</v>
      </c>
      <c r="P101" s="6"/>
    </row>
    <row r="102" spans="1:16" x14ac:dyDescent="0.2">
      <c r="B102" s="23" t="s">
        <v>119</v>
      </c>
      <c r="C102" s="8">
        <v>76.148242855101103</v>
      </c>
      <c r="D102" s="8">
        <v>0.38766067218141725</v>
      </c>
      <c r="E102" s="8">
        <v>12.876305783030384</v>
      </c>
      <c r="F102" s="8">
        <v>1.9941305867425918</v>
      </c>
      <c r="G102" s="8">
        <v>1.537463268495598E-2</v>
      </c>
      <c r="H102" s="8">
        <v>0.47222115194867509</v>
      </c>
      <c r="I102" s="8">
        <v>2.0158688918964862</v>
      </c>
      <c r="J102" s="8">
        <v>3.5844683370481079</v>
      </c>
      <c r="K102" s="8">
        <v>2.1221982224454905</v>
      </c>
      <c r="L102" s="8">
        <v>0.13925649918468505</v>
      </c>
      <c r="M102" s="8">
        <v>0.31536731655908312</v>
      </c>
      <c r="N102" s="8">
        <v>100</v>
      </c>
      <c r="O102" s="8">
        <v>1.818759503019735</v>
      </c>
      <c r="P102" s="6"/>
    </row>
    <row r="103" spans="1:16" x14ac:dyDescent="0.2">
      <c r="B103" s="23" t="s">
        <v>120</v>
      </c>
      <c r="C103" s="8">
        <v>76.173378133835314</v>
      </c>
      <c r="D103" s="8">
        <v>0.3879326073445894</v>
      </c>
      <c r="E103" s="8">
        <v>12.793395018783729</v>
      </c>
      <c r="F103" s="8">
        <v>1.9652044742379922</v>
      </c>
      <c r="G103" s="8">
        <v>7.0844930283183088E-2</v>
      </c>
      <c r="H103" s="8">
        <v>0.44357524950394056</v>
      </c>
      <c r="I103" s="8">
        <v>2.1120179441055171</v>
      </c>
      <c r="J103" s="8">
        <v>3.7083245915665213</v>
      </c>
      <c r="K103" s="8">
        <v>2.1182998813467697</v>
      </c>
      <c r="L103" s="8">
        <v>2.3933670162568491E-2</v>
      </c>
      <c r="M103" s="8">
        <v>0.26227956217459242</v>
      </c>
      <c r="N103" s="8">
        <v>100</v>
      </c>
      <c r="O103" s="8">
        <v>2.1453209959817827</v>
      </c>
      <c r="P103" s="6"/>
    </row>
    <row r="104" spans="1:16" x14ac:dyDescent="0.2">
      <c r="B104" s="23" t="s">
        <v>121</v>
      </c>
      <c r="C104" s="8">
        <v>76.211489678105409</v>
      </c>
      <c r="D104" s="8">
        <v>0.33724246788910406</v>
      </c>
      <c r="E104" s="8">
        <v>12.942905649211298</v>
      </c>
      <c r="F104" s="8">
        <v>1.7235471566453067</v>
      </c>
      <c r="G104" s="8">
        <v>3.2165849027375397E-2</v>
      </c>
      <c r="H104" s="8">
        <v>0.42365155207557698</v>
      </c>
      <c r="I104" s="8">
        <v>1.947150411959198</v>
      </c>
      <c r="J104" s="8">
        <v>3.8879321521266088</v>
      </c>
      <c r="K104" s="8">
        <v>2.1997169262497538</v>
      </c>
      <c r="L104" s="8">
        <v>0.13084273937073587</v>
      </c>
      <c r="M104" s="8">
        <v>0.21109814514437963</v>
      </c>
      <c r="N104" s="8">
        <v>100</v>
      </c>
      <c r="O104" s="8">
        <v>1.411971206808091</v>
      </c>
      <c r="P104" s="6"/>
    </row>
    <row r="105" spans="1:16" x14ac:dyDescent="0.2">
      <c r="B105" s="23" t="s">
        <v>122</v>
      </c>
      <c r="C105" s="8">
        <v>76.265187252644182</v>
      </c>
      <c r="D105" s="8">
        <v>0.37410666466399178</v>
      </c>
      <c r="E105" s="8">
        <v>12.577703838615498</v>
      </c>
      <c r="F105" s="8">
        <v>1.9137623882561479</v>
      </c>
      <c r="G105" s="8">
        <v>1.8481407391107138E-2</v>
      </c>
      <c r="H105" s="8">
        <v>0.41832449305877079</v>
      </c>
      <c r="I105" s="8">
        <v>1.8926299927686352</v>
      </c>
      <c r="J105" s="8">
        <v>3.694801904418584</v>
      </c>
      <c r="K105" s="8">
        <v>2.4987552580287691</v>
      </c>
      <c r="L105" s="8">
        <v>0.10354669709735972</v>
      </c>
      <c r="M105" s="8">
        <v>0.31326965107823657</v>
      </c>
      <c r="N105" s="8">
        <v>100</v>
      </c>
      <c r="O105" s="8">
        <v>2.0395726099113203</v>
      </c>
      <c r="P105" s="6"/>
    </row>
    <row r="106" spans="1:16" x14ac:dyDescent="0.2">
      <c r="B106" s="23" t="s">
        <v>123</v>
      </c>
      <c r="C106" s="8">
        <v>76.376633283965873</v>
      </c>
      <c r="D106" s="8">
        <v>0.36364441533449138</v>
      </c>
      <c r="E106" s="8">
        <v>12.795074123116501</v>
      </c>
      <c r="F106" s="8">
        <v>1.939086431744427</v>
      </c>
      <c r="G106" s="8">
        <v>1.8490671346261766E-2</v>
      </c>
      <c r="H106" s="8">
        <v>0.45371280273065184</v>
      </c>
      <c r="I106" s="8">
        <v>2.102526375762463</v>
      </c>
      <c r="J106" s="8">
        <v>3.5241910511897316</v>
      </c>
      <c r="K106" s="8">
        <v>2.1496530425564755</v>
      </c>
      <c r="L106" s="8">
        <v>0</v>
      </c>
      <c r="M106" s="8">
        <v>0.35765846957178837</v>
      </c>
      <c r="N106" s="8">
        <v>100</v>
      </c>
      <c r="O106" s="8">
        <v>2.2714123133947335</v>
      </c>
      <c r="P106" s="6"/>
    </row>
    <row r="107" spans="1:16" x14ac:dyDescent="0.2">
      <c r="B107" s="23" t="s">
        <v>124</v>
      </c>
      <c r="C107" s="8">
        <v>76.664926545088974</v>
      </c>
      <c r="D107" s="8">
        <v>0.32720939821331513</v>
      </c>
      <c r="E107" s="8">
        <v>12.509656401552652</v>
      </c>
      <c r="F107" s="8">
        <v>1.9229650084620822</v>
      </c>
      <c r="G107" s="8">
        <v>1.8601478773580225E-2</v>
      </c>
      <c r="H107" s="8">
        <v>0.39866876833637188</v>
      </c>
      <c r="I107" s="8">
        <v>1.9891029142546219</v>
      </c>
      <c r="J107" s="8">
        <v>3.6979653441173514</v>
      </c>
      <c r="K107" s="8">
        <v>2.1483664458312157</v>
      </c>
      <c r="L107" s="8">
        <v>4.0168008383561563E-3</v>
      </c>
      <c r="M107" s="8">
        <v>0.41142444993388527</v>
      </c>
      <c r="N107" s="8">
        <v>100</v>
      </c>
      <c r="O107" s="8">
        <v>2.8103618724381012</v>
      </c>
      <c r="P107" s="6"/>
    </row>
    <row r="108" spans="1:16" x14ac:dyDescent="0.2">
      <c r="B108" s="23" t="s">
        <v>125</v>
      </c>
      <c r="C108" s="8">
        <v>76.674515590808596</v>
      </c>
      <c r="D108" s="8">
        <v>0.37177984434304606</v>
      </c>
      <c r="E108" s="8">
        <v>12.712296950489621</v>
      </c>
      <c r="F108" s="8">
        <v>1.8006096939813274</v>
      </c>
      <c r="G108" s="8">
        <v>7.8429786932895498E-2</v>
      </c>
      <c r="H108" s="8">
        <v>0.39289783651973104</v>
      </c>
      <c r="I108" s="8">
        <v>1.9854740366677397</v>
      </c>
      <c r="J108" s="8">
        <v>3.5271405127804898</v>
      </c>
      <c r="K108" s="8">
        <v>2.0347559393092864</v>
      </c>
      <c r="L108" s="8">
        <v>0.11787507173398026</v>
      </c>
      <c r="M108" s="8">
        <v>0.39282086605127442</v>
      </c>
      <c r="N108" s="8">
        <v>100</v>
      </c>
      <c r="O108" s="8">
        <v>4.014146562995494</v>
      </c>
      <c r="P108" s="6"/>
    </row>
    <row r="109" spans="1:16" x14ac:dyDescent="0.2">
      <c r="B109" s="23" t="s">
        <v>126</v>
      </c>
      <c r="C109" s="8">
        <v>76.708342108743224</v>
      </c>
      <c r="D109" s="8">
        <v>0.34528831711973801</v>
      </c>
      <c r="E109" s="8">
        <v>12.715620387275292</v>
      </c>
      <c r="F109" s="8">
        <v>2.0467155340633076</v>
      </c>
      <c r="G109" s="8">
        <v>4.4618790608529808E-2</v>
      </c>
      <c r="H109" s="8">
        <v>0.42553211713136763</v>
      </c>
      <c r="I109" s="8">
        <v>1.9541033709979727</v>
      </c>
      <c r="J109" s="8">
        <v>3.3675182952230176</v>
      </c>
      <c r="K109" s="8">
        <v>2.2030425788495527</v>
      </c>
      <c r="L109" s="8">
        <v>2.3920130378849918E-2</v>
      </c>
      <c r="M109" s="8">
        <v>0.21334073780965809</v>
      </c>
      <c r="N109" s="8">
        <v>100</v>
      </c>
      <c r="O109" s="8">
        <v>2.0744660700261095</v>
      </c>
      <c r="P109" s="6"/>
    </row>
    <row r="110" spans="1:16" x14ac:dyDescent="0.2">
      <c r="B110" s="23" t="s">
        <v>127</v>
      </c>
      <c r="C110" s="8">
        <v>76.713350746367155</v>
      </c>
      <c r="D110" s="8">
        <v>0.49933165986466793</v>
      </c>
      <c r="E110" s="8">
        <v>11.775933499258514</v>
      </c>
      <c r="F110" s="8">
        <v>2.2819146788074289</v>
      </c>
      <c r="G110" s="8">
        <v>2.7705855252365564E-2</v>
      </c>
      <c r="H110" s="8">
        <v>0.30522721069756403</v>
      </c>
      <c r="I110" s="8">
        <v>0.87437366183497989</v>
      </c>
      <c r="J110" s="8">
        <v>3.5908602839711818</v>
      </c>
      <c r="K110" s="8">
        <v>3.7832657458126211</v>
      </c>
      <c r="L110" s="8">
        <v>0</v>
      </c>
      <c r="M110" s="8">
        <v>0.19118051547735607</v>
      </c>
      <c r="N110" s="8">
        <v>100</v>
      </c>
      <c r="O110" s="8">
        <v>2.1640003405935317</v>
      </c>
      <c r="P110" s="6"/>
    </row>
    <row r="111" spans="1:16" x14ac:dyDescent="0.2">
      <c r="B111" s="23" t="s">
        <v>128</v>
      </c>
      <c r="C111" s="8">
        <v>76.779381041052432</v>
      </c>
      <c r="D111" s="8">
        <v>0.35681006549635613</v>
      </c>
      <c r="E111" s="8">
        <v>12.605423650342457</v>
      </c>
      <c r="F111" s="8">
        <v>1.8813089053531185</v>
      </c>
      <c r="G111" s="8">
        <v>6.4402723235461146E-2</v>
      </c>
      <c r="H111" s="8">
        <v>0.3809373123906189</v>
      </c>
      <c r="I111" s="8">
        <v>1.9327428011225671</v>
      </c>
      <c r="J111" s="8">
        <v>3.5388493430725325</v>
      </c>
      <c r="K111" s="8">
        <v>2.1826401353237457</v>
      </c>
      <c r="L111" s="8">
        <v>0</v>
      </c>
      <c r="M111" s="8">
        <v>0.35833772441361367</v>
      </c>
      <c r="N111" s="8">
        <v>100</v>
      </c>
      <c r="O111" s="8">
        <v>1.7083167281962253</v>
      </c>
      <c r="P111" s="6"/>
    </row>
    <row r="112" spans="1:16" x14ac:dyDescent="0.2">
      <c r="B112" s="23" t="s">
        <v>129</v>
      </c>
      <c r="C112" s="8">
        <v>76.867046127945557</v>
      </c>
      <c r="D112" s="8">
        <v>0.39508314127296101</v>
      </c>
      <c r="E112" s="8">
        <v>12.788246806360966</v>
      </c>
      <c r="F112" s="8">
        <v>1.7175593454922884</v>
      </c>
      <c r="G112" s="8">
        <v>4.051851563556242E-2</v>
      </c>
      <c r="H112" s="8">
        <v>0.34227518260049833</v>
      </c>
      <c r="I112" s="8">
        <v>1.7063383252645603</v>
      </c>
      <c r="J112" s="8">
        <v>3.2471485370501667</v>
      </c>
      <c r="K112" s="8">
        <v>2.610131115492774</v>
      </c>
      <c r="L112" s="8">
        <v>3.6302632782752635E-2</v>
      </c>
      <c r="M112" s="8">
        <v>0.32205670033920242</v>
      </c>
      <c r="N112" s="8">
        <v>100</v>
      </c>
      <c r="O112" s="8">
        <v>3.229256924823364</v>
      </c>
      <c r="P112" s="6"/>
    </row>
    <row r="113" spans="1:30" x14ac:dyDescent="0.2">
      <c r="B113" s="23" t="s">
        <v>130</v>
      </c>
      <c r="C113" s="8">
        <v>77.018905332299738</v>
      </c>
      <c r="D113" s="8">
        <v>0.39615150453200565</v>
      </c>
      <c r="E113" s="8">
        <v>12.368790854017174</v>
      </c>
      <c r="F113" s="8">
        <v>1.9138059203810287</v>
      </c>
      <c r="G113" s="8">
        <v>5.1655644403088632E-2</v>
      </c>
      <c r="H113" s="8">
        <v>0.42445167332107919</v>
      </c>
      <c r="I113" s="8">
        <v>2.0308220220930573</v>
      </c>
      <c r="J113" s="8">
        <v>3.4385960972666871</v>
      </c>
      <c r="K113" s="8">
        <v>2.113742160160947</v>
      </c>
      <c r="L113" s="8">
        <v>0</v>
      </c>
      <c r="M113" s="8">
        <v>0.31378250669836327</v>
      </c>
      <c r="N113" s="8">
        <v>100</v>
      </c>
      <c r="O113" s="8">
        <v>3.7928878055952366</v>
      </c>
      <c r="P113" s="6"/>
    </row>
    <row r="114" spans="1:30" x14ac:dyDescent="0.2">
      <c r="B114" s="23" t="s">
        <v>131</v>
      </c>
      <c r="C114" s="8">
        <v>77.050282396707232</v>
      </c>
      <c r="D114" s="8">
        <v>0.43461859246716444</v>
      </c>
      <c r="E114" s="8">
        <v>12.331613920089479</v>
      </c>
      <c r="F114" s="8">
        <v>1.839420105121468</v>
      </c>
      <c r="G114" s="8">
        <v>6.7647669929466761E-2</v>
      </c>
      <c r="H114" s="8">
        <v>0.37030775290454426</v>
      </c>
      <c r="I114" s="8">
        <v>1.7314057456870278</v>
      </c>
      <c r="J114" s="8">
        <v>3.5403179782964784</v>
      </c>
      <c r="K114" s="8">
        <v>2.2233082893634437</v>
      </c>
      <c r="L114" s="8">
        <v>0.19504577672372791</v>
      </c>
      <c r="M114" s="8">
        <v>0.2789510786815374</v>
      </c>
      <c r="N114" s="8">
        <v>100</v>
      </c>
      <c r="O114" s="8">
        <v>1.7947030764679319</v>
      </c>
    </row>
    <row r="115" spans="1:30" x14ac:dyDescent="0.2">
      <c r="B115" s="23" t="s">
        <v>132</v>
      </c>
      <c r="C115" s="8">
        <v>77.764078554153684</v>
      </c>
      <c r="D115" s="8">
        <v>0.34626195295498685</v>
      </c>
      <c r="E115" s="8">
        <v>12.09669073606576</v>
      </c>
      <c r="F115" s="8">
        <v>1.7787157981004955</v>
      </c>
      <c r="G115" s="8">
        <v>3.7132162508152967E-2</v>
      </c>
      <c r="H115" s="8">
        <v>0.3664272059367556</v>
      </c>
      <c r="I115" s="8">
        <v>1.6138047386279275</v>
      </c>
      <c r="J115" s="8">
        <v>3.4099324866714915</v>
      </c>
      <c r="K115" s="8">
        <v>2.325797624609697</v>
      </c>
      <c r="L115" s="8">
        <v>0</v>
      </c>
      <c r="M115" s="8">
        <v>0.33728116039895673</v>
      </c>
      <c r="N115" s="8">
        <v>100</v>
      </c>
      <c r="O115" s="8">
        <v>2.54387481194378</v>
      </c>
      <c r="P115" s="6"/>
    </row>
    <row r="116" spans="1:30" x14ac:dyDescent="0.2">
      <c r="B116" s="24" t="s">
        <v>20</v>
      </c>
      <c r="C116" s="18">
        <f>AVERAGE(C97:C115)</f>
        <v>76.417168027343322</v>
      </c>
      <c r="D116" s="18">
        <f t="shared" ref="D116:O116" si="15">AVERAGE(D97:D115)</f>
        <v>0.39820899356345513</v>
      </c>
      <c r="E116" s="18">
        <f t="shared" si="15"/>
        <v>12.676629353235422</v>
      </c>
      <c r="F116" s="18">
        <f t="shared" si="15"/>
        <v>1.9351733001641127</v>
      </c>
      <c r="G116" s="18">
        <f t="shared" si="15"/>
        <v>4.4526981572448103E-2</v>
      </c>
      <c r="H116" s="18">
        <f t="shared" si="15"/>
        <v>0.40375004514091306</v>
      </c>
      <c r="I116" s="18">
        <f t="shared" si="15"/>
        <v>1.8824927658167927</v>
      </c>
      <c r="J116" s="18">
        <f t="shared" si="15"/>
        <v>3.5919387666425804</v>
      </c>
      <c r="K116" s="18">
        <f t="shared" si="15"/>
        <v>2.3520922848579007</v>
      </c>
      <c r="L116" s="18">
        <f t="shared" si="15"/>
        <v>6.0241534083667669E-2</v>
      </c>
      <c r="M116" s="18">
        <f t="shared" si="15"/>
        <v>0.30706468799163006</v>
      </c>
      <c r="N116" s="18">
        <f t="shared" si="15"/>
        <v>100</v>
      </c>
      <c r="O116" s="18">
        <f t="shared" si="15"/>
        <v>2.4681243687996162</v>
      </c>
      <c r="P116" s="6"/>
    </row>
    <row r="117" spans="1:30" x14ac:dyDescent="0.2">
      <c r="B117" s="24" t="s">
        <v>21</v>
      </c>
      <c r="C117" s="18">
        <f t="shared" ref="C117:O117" si="16">STDEV(C97:C115)</f>
        <v>0.61655985485709253</v>
      </c>
      <c r="D117" s="18">
        <f t="shared" si="16"/>
        <v>6.3483565785925178E-2</v>
      </c>
      <c r="E117" s="18">
        <f t="shared" si="16"/>
        <v>0.37269225881157259</v>
      </c>
      <c r="F117" s="18">
        <f t="shared" si="16"/>
        <v>0.15367013046471387</v>
      </c>
      <c r="G117" s="18">
        <f t="shared" si="16"/>
        <v>2.4373856833844593E-2</v>
      </c>
      <c r="H117" s="18">
        <f t="shared" si="16"/>
        <v>6.2883002496916265E-2</v>
      </c>
      <c r="I117" s="18">
        <f t="shared" si="16"/>
        <v>0.31897708427719373</v>
      </c>
      <c r="J117" s="18">
        <f t="shared" si="16"/>
        <v>0.18448787025000687</v>
      </c>
      <c r="K117" s="18">
        <f t="shared" si="16"/>
        <v>0.45728033693204018</v>
      </c>
      <c r="L117" s="18">
        <f t="shared" si="16"/>
        <v>6.1520884360210852E-2</v>
      </c>
      <c r="M117" s="18">
        <f t="shared" si="16"/>
        <v>6.8845315190169121E-2</v>
      </c>
      <c r="N117" s="18">
        <f t="shared" si="16"/>
        <v>0</v>
      </c>
      <c r="O117" s="18">
        <f t="shared" si="16"/>
        <v>1.084540140352843</v>
      </c>
      <c r="P117" s="6"/>
    </row>
    <row r="118" spans="1:30" x14ac:dyDescent="0.2">
      <c r="B118" s="2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6"/>
    </row>
    <row r="119" spans="1:30" x14ac:dyDescent="0.2">
      <c r="A119" s="1" t="s">
        <v>76</v>
      </c>
      <c r="B119" s="23" t="s">
        <v>135</v>
      </c>
      <c r="C119" s="8">
        <v>75.805050498712561</v>
      </c>
      <c r="D119" s="8">
        <v>0.40350357315173818</v>
      </c>
      <c r="E119" s="8">
        <v>12.885222765025992</v>
      </c>
      <c r="F119" s="8">
        <v>2.0703873750037118</v>
      </c>
      <c r="G119" s="8">
        <v>8.3496480880235285E-2</v>
      </c>
      <c r="H119" s="8">
        <v>0.4479374925810804</v>
      </c>
      <c r="I119" s="8">
        <v>2.105296086284604</v>
      </c>
      <c r="J119" s="8">
        <v>3.8031363030611374</v>
      </c>
      <c r="K119" s="8">
        <v>2.0683002187606574</v>
      </c>
      <c r="L119" s="8">
        <v>1.5975953301615907E-2</v>
      </c>
      <c r="M119" s="8">
        <v>0.40249580408340058</v>
      </c>
      <c r="N119" s="8">
        <v>100</v>
      </c>
      <c r="O119" s="8">
        <v>2.3115805418885991</v>
      </c>
      <c r="P119" s="1" t="s">
        <v>81</v>
      </c>
    </row>
    <row r="120" spans="1:30" x14ac:dyDescent="0.2">
      <c r="B120" s="23" t="s">
        <v>136</v>
      </c>
      <c r="C120" s="8">
        <v>76.053880668839724</v>
      </c>
      <c r="D120" s="8">
        <v>0.36670747622854571</v>
      </c>
      <c r="E120" s="8">
        <v>12.947489301707355</v>
      </c>
      <c r="F120" s="8">
        <v>1.9960767997196223</v>
      </c>
      <c r="G120" s="8">
        <v>3.6991659306383914E-2</v>
      </c>
      <c r="H120" s="8">
        <v>0.44391727481670878</v>
      </c>
      <c r="I120" s="8">
        <v>2.1361156314468932</v>
      </c>
      <c r="J120" s="8">
        <v>3.6278851337144169</v>
      </c>
      <c r="K120" s="8">
        <v>2.1216327298795914</v>
      </c>
      <c r="L120" s="8">
        <v>0</v>
      </c>
      <c r="M120" s="8">
        <v>0.34773467090314431</v>
      </c>
      <c r="N120" s="8">
        <v>100</v>
      </c>
      <c r="O120" s="8">
        <v>2.1361182461315247</v>
      </c>
      <c r="P120" s="6"/>
    </row>
    <row r="121" spans="1:30" x14ac:dyDescent="0.2">
      <c r="B121" s="23" t="s">
        <v>137</v>
      </c>
      <c r="C121" s="8">
        <v>76.154140967063114</v>
      </c>
      <c r="D121" s="8">
        <v>0.38076890781651318</v>
      </c>
      <c r="E121" s="8">
        <v>13.028488513521225</v>
      </c>
      <c r="F121" s="8">
        <v>2.2596816505484609</v>
      </c>
      <c r="G121" s="8">
        <v>3.0873486135112064E-3</v>
      </c>
      <c r="H121" s="8">
        <v>0.51649880897714351</v>
      </c>
      <c r="I121" s="8">
        <v>2.0810119524020969</v>
      </c>
      <c r="J121" s="8">
        <v>3.1329077003004588</v>
      </c>
      <c r="K121" s="8">
        <v>2.1984354398871808</v>
      </c>
      <c r="L121" s="8">
        <v>3.5915848948440202E-2</v>
      </c>
      <c r="M121" s="8">
        <v>0.27003416467947022</v>
      </c>
      <c r="N121" s="8">
        <v>100</v>
      </c>
      <c r="O121" s="8">
        <v>2.1962467233103773</v>
      </c>
      <c r="P121" s="6"/>
    </row>
    <row r="122" spans="1:30" x14ac:dyDescent="0.2">
      <c r="B122" s="23" t="s">
        <v>138</v>
      </c>
      <c r="C122" s="8">
        <v>76.213760408271085</v>
      </c>
      <c r="D122" s="8">
        <v>0.35664185721102093</v>
      </c>
      <c r="E122" s="8">
        <v>12.756372828824237</v>
      </c>
      <c r="F122" s="8">
        <v>1.9471877564761124</v>
      </c>
      <c r="G122" s="8">
        <v>5.4391679213111395E-2</v>
      </c>
      <c r="H122" s="8">
        <v>0.47804970615798781</v>
      </c>
      <c r="I122" s="8">
        <v>1.9923898517728449</v>
      </c>
      <c r="J122" s="8">
        <v>3.8156781918279647</v>
      </c>
      <c r="K122" s="8">
        <v>2.0821870957066575</v>
      </c>
      <c r="L122" s="8">
        <v>4.4209377455099237E-2</v>
      </c>
      <c r="M122" s="8">
        <v>0.33465598600752167</v>
      </c>
      <c r="N122" s="8">
        <v>100</v>
      </c>
      <c r="O122" s="8">
        <v>2.8723151951116681</v>
      </c>
      <c r="P122" s="6"/>
    </row>
    <row r="123" spans="1:30" x14ac:dyDescent="0.2">
      <c r="B123" s="23" t="s">
        <v>139</v>
      </c>
      <c r="C123" s="8">
        <v>76.472869226004292</v>
      </c>
      <c r="D123" s="8">
        <v>0.39796964562946568</v>
      </c>
      <c r="E123" s="8">
        <v>12.641802903683475</v>
      </c>
      <c r="F123" s="8">
        <v>1.9515565783340314</v>
      </c>
      <c r="G123" s="8">
        <v>3.1173726198809096E-2</v>
      </c>
      <c r="H123" s="8">
        <v>0.43152218910565465</v>
      </c>
      <c r="I123" s="8">
        <v>1.9788959928243854</v>
      </c>
      <c r="J123" s="8">
        <v>3.8116866960116909</v>
      </c>
      <c r="K123" s="8">
        <v>2.0215623606943089</v>
      </c>
      <c r="L123" s="8">
        <v>0</v>
      </c>
      <c r="M123" s="8">
        <v>0.33691916846745917</v>
      </c>
      <c r="N123" s="8">
        <v>100</v>
      </c>
      <c r="O123" s="8">
        <v>2.9345425088627981</v>
      </c>
      <c r="P123" s="6"/>
    </row>
    <row r="124" spans="1:30" x14ac:dyDescent="0.2">
      <c r="B124" s="23" t="s">
        <v>140</v>
      </c>
      <c r="C124" s="8">
        <v>76.600270143402795</v>
      </c>
      <c r="D124" s="8">
        <v>0.3502115271841012</v>
      </c>
      <c r="E124" s="8">
        <v>12.676545560031997</v>
      </c>
      <c r="F124" s="8">
        <v>1.8343856690310725</v>
      </c>
      <c r="G124" s="8">
        <v>4.9593842975766425E-2</v>
      </c>
      <c r="H124" s="8">
        <v>0.4548081268704306</v>
      </c>
      <c r="I124" s="8">
        <v>2.0335875024450853</v>
      </c>
      <c r="J124" s="8">
        <v>3.5357889641729012</v>
      </c>
      <c r="K124" s="8">
        <v>2.1600894337174728</v>
      </c>
      <c r="L124" s="8">
        <v>6.8147186125985956E-2</v>
      </c>
      <c r="M124" s="8">
        <v>0.30552826010898704</v>
      </c>
      <c r="N124" s="8">
        <v>100</v>
      </c>
      <c r="O124" s="8">
        <v>2.5386490008816582</v>
      </c>
      <c r="P124" s="6"/>
    </row>
    <row r="125" spans="1:30" x14ac:dyDescent="0.2">
      <c r="B125" s="23" t="s">
        <v>141</v>
      </c>
      <c r="C125" s="8">
        <v>76.628676903282539</v>
      </c>
      <c r="D125" s="8">
        <v>0.35602618248482426</v>
      </c>
      <c r="E125" s="8">
        <v>12.563821059983974</v>
      </c>
      <c r="F125" s="8">
        <v>1.9084465511135666</v>
      </c>
      <c r="G125" s="8">
        <v>3.5609178562331381E-2</v>
      </c>
      <c r="H125" s="8">
        <v>0.39984497879970204</v>
      </c>
      <c r="I125" s="8">
        <v>1.9901019575523045</v>
      </c>
      <c r="J125" s="8">
        <v>3.5893834680433785</v>
      </c>
      <c r="K125" s="8">
        <v>2.1638170181746106</v>
      </c>
      <c r="L125" s="8">
        <v>0.10413063166564943</v>
      </c>
      <c r="M125" s="8">
        <v>0.33590036965507047</v>
      </c>
      <c r="N125" s="8">
        <v>100</v>
      </c>
      <c r="O125" s="8">
        <v>2.5049038899547513</v>
      </c>
      <c r="P125" s="6"/>
    </row>
    <row r="126" spans="1:30" x14ac:dyDescent="0.2">
      <c r="B126" s="23" t="s">
        <v>142</v>
      </c>
      <c r="C126" s="8">
        <v>76.674920068802635</v>
      </c>
      <c r="D126" s="8">
        <v>0.35124554705494171</v>
      </c>
      <c r="E126" s="8">
        <v>12.850032830446423</v>
      </c>
      <c r="F126" s="8">
        <v>1.9367425902331066</v>
      </c>
      <c r="G126" s="8">
        <v>8.9035571533105831E-2</v>
      </c>
      <c r="H126" s="8">
        <v>0.40989463246741653</v>
      </c>
      <c r="I126" s="8">
        <v>2.0274735451119983</v>
      </c>
      <c r="J126" s="8">
        <v>3.201697292442657</v>
      </c>
      <c r="K126" s="8">
        <v>2.1860922861020762</v>
      </c>
      <c r="L126" s="8">
        <v>1.617031380416303E-2</v>
      </c>
      <c r="M126" s="8">
        <v>0.33149298553419354</v>
      </c>
      <c r="N126" s="8">
        <v>100</v>
      </c>
      <c r="O126" s="8">
        <v>3.5032567635091278</v>
      </c>
      <c r="P126" s="6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x14ac:dyDescent="0.2">
      <c r="B127" s="23" t="s">
        <v>143</v>
      </c>
      <c r="C127" s="8">
        <v>76.936883342009466</v>
      </c>
      <c r="D127" s="8">
        <v>0.31691825001658214</v>
      </c>
      <c r="E127" s="8">
        <v>12.705718008671566</v>
      </c>
      <c r="F127" s="8">
        <v>1.867390448553359</v>
      </c>
      <c r="G127" s="8">
        <v>7.2212533416611477E-2</v>
      </c>
      <c r="H127" s="8">
        <v>0.41088321021619673</v>
      </c>
      <c r="I127" s="8">
        <v>1.9465156666877044</v>
      </c>
      <c r="J127" s="8">
        <v>3.2988394643518464</v>
      </c>
      <c r="K127" s="8">
        <v>2.1684525073699978</v>
      </c>
      <c r="L127" s="8">
        <v>0</v>
      </c>
      <c r="M127" s="8">
        <v>0.35667708879412585</v>
      </c>
      <c r="N127" s="8">
        <v>100</v>
      </c>
      <c r="O127" s="8">
        <v>3.8252435826597107</v>
      </c>
      <c r="P127" s="6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x14ac:dyDescent="0.2">
      <c r="B128" s="23" t="s">
        <v>144</v>
      </c>
      <c r="C128" s="8">
        <v>77.037436112315788</v>
      </c>
      <c r="D128" s="8">
        <v>0.27718846089002735</v>
      </c>
      <c r="E128" s="8">
        <v>12.724278596227503</v>
      </c>
      <c r="F128" s="8">
        <v>1.8353748834679753</v>
      </c>
      <c r="G128" s="8">
        <v>6.1113829235544433E-2</v>
      </c>
      <c r="H128" s="8">
        <v>0.38612126112352169</v>
      </c>
      <c r="I128" s="8">
        <v>1.8490223354497803</v>
      </c>
      <c r="J128" s="8">
        <v>3.3172952791731323</v>
      </c>
      <c r="K128" s="8">
        <v>2.199469405982565</v>
      </c>
      <c r="L128" s="8">
        <v>6.0844198725265607E-2</v>
      </c>
      <c r="M128" s="8">
        <v>0.32521483997280715</v>
      </c>
      <c r="N128" s="8">
        <v>100</v>
      </c>
      <c r="O128" s="8">
        <v>3.7040424149334497</v>
      </c>
      <c r="P128" s="6"/>
      <c r="Q128" s="2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x14ac:dyDescent="0.2">
      <c r="B129" s="23" t="s">
        <v>145</v>
      </c>
      <c r="C129" s="8">
        <v>78.372669705712227</v>
      </c>
      <c r="D129" s="8">
        <v>0.40891045048784558</v>
      </c>
      <c r="E129" s="8">
        <v>12.133688188938468</v>
      </c>
      <c r="F129" s="8">
        <v>1.6164363919189133</v>
      </c>
      <c r="G129" s="8">
        <v>3.7560025982866702E-2</v>
      </c>
      <c r="H129" s="8">
        <v>0.14763189801522614</v>
      </c>
      <c r="I129" s="8">
        <v>1.2765736186239123</v>
      </c>
      <c r="J129" s="8">
        <v>3.2944959129171392</v>
      </c>
      <c r="K129" s="8">
        <v>2.3889326079197106</v>
      </c>
      <c r="L129" s="8">
        <v>0.1012631036565026</v>
      </c>
      <c r="M129" s="8">
        <v>0.28644365616625667</v>
      </c>
      <c r="N129" s="8">
        <v>100</v>
      </c>
      <c r="O129" s="8">
        <v>3.3771667158415397</v>
      </c>
      <c r="P129" s="6"/>
      <c r="Q129" s="2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x14ac:dyDescent="0.2">
      <c r="B130" s="23" t="s">
        <v>576</v>
      </c>
      <c r="C130" s="8">
        <v>78.701208545955396</v>
      </c>
      <c r="D130" s="8">
        <v>0.61334666882425726</v>
      </c>
      <c r="E130" s="8">
        <v>11.541078476977805</v>
      </c>
      <c r="F130" s="8">
        <v>2.3328518573454522</v>
      </c>
      <c r="G130" s="8">
        <v>7.7850683909912149E-2</v>
      </c>
      <c r="H130" s="8">
        <v>0.22208608727225457</v>
      </c>
      <c r="I130" s="8">
        <v>0.46987992195771666</v>
      </c>
      <c r="J130" s="8">
        <v>2.327988507935018</v>
      </c>
      <c r="K130" s="8">
        <v>3.4375946477860473</v>
      </c>
      <c r="L130" s="8">
        <v>9.6695132504707848E-2</v>
      </c>
      <c r="M130" s="8">
        <v>0.23180660386929666</v>
      </c>
      <c r="N130" s="8">
        <v>100</v>
      </c>
      <c r="O130" s="8">
        <v>3.0370637803908993</v>
      </c>
      <c r="P130" s="6"/>
    </row>
    <row r="131" spans="1:30" x14ac:dyDescent="0.2">
      <c r="B131" s="24" t="s">
        <v>20</v>
      </c>
      <c r="C131" s="18">
        <f t="shared" ref="C131:O131" si="17">AVERAGE(C119:C130)</f>
        <v>76.804313882530977</v>
      </c>
      <c r="D131" s="18">
        <f t="shared" si="17"/>
        <v>0.38161987891498855</v>
      </c>
      <c r="E131" s="18">
        <f t="shared" si="17"/>
        <v>12.621211586170004</v>
      </c>
      <c r="F131" s="18">
        <f t="shared" si="17"/>
        <v>1.9630432126454487</v>
      </c>
      <c r="G131" s="18">
        <f t="shared" si="17"/>
        <v>5.2676379985682441E-2</v>
      </c>
      <c r="H131" s="18">
        <f t="shared" si="17"/>
        <v>0.39576630553361025</v>
      </c>
      <c r="I131" s="18">
        <f t="shared" si="17"/>
        <v>1.8239053385466109</v>
      </c>
      <c r="J131" s="18">
        <f t="shared" si="17"/>
        <v>3.3963985761626456</v>
      </c>
      <c r="K131" s="18">
        <f t="shared" si="17"/>
        <v>2.2663804793317395</v>
      </c>
      <c r="L131" s="18">
        <f t="shared" si="17"/>
        <v>4.5279312182285814E-2</v>
      </c>
      <c r="M131" s="18">
        <f t="shared" si="17"/>
        <v>0.32207529985347777</v>
      </c>
      <c r="N131" s="18">
        <f t="shared" si="17"/>
        <v>100</v>
      </c>
      <c r="O131" s="18">
        <f t="shared" si="17"/>
        <v>2.9117607802896757</v>
      </c>
      <c r="P131" s="6"/>
    </row>
    <row r="132" spans="1:30" x14ac:dyDescent="0.2">
      <c r="B132" s="24" t="s">
        <v>21</v>
      </c>
      <c r="C132" s="18">
        <f t="shared" ref="C132:O132" si="18">STDEV(C119:C130)</f>
        <v>0.88739178841390109</v>
      </c>
      <c r="D132" s="18">
        <f t="shared" si="18"/>
        <v>8.1848885493381776E-2</v>
      </c>
      <c r="E132" s="18">
        <f t="shared" si="18"/>
        <v>0.40916450715415154</v>
      </c>
      <c r="F132" s="18">
        <f t="shared" si="18"/>
        <v>0.19153930176054509</v>
      </c>
      <c r="G132" s="18">
        <f t="shared" si="18"/>
        <v>2.5330813559844581E-2</v>
      </c>
      <c r="H132" s="18">
        <f t="shared" si="18"/>
        <v>0.1059266294872892</v>
      </c>
      <c r="I132" s="18">
        <f t="shared" si="18"/>
        <v>0.4821182335332157</v>
      </c>
      <c r="J132" s="18">
        <f t="shared" si="18"/>
        <v>0.4154897922690135</v>
      </c>
      <c r="K132" s="18">
        <f t="shared" si="18"/>
        <v>0.37992334378998116</v>
      </c>
      <c r="L132" s="18">
        <f t="shared" si="18"/>
        <v>4.0397955406646625E-2</v>
      </c>
      <c r="M132" s="18">
        <f t="shared" si="18"/>
        <v>4.4098625594426247E-2</v>
      </c>
      <c r="N132" s="18">
        <f t="shared" si="18"/>
        <v>0</v>
      </c>
      <c r="O132" s="18">
        <f t="shared" si="18"/>
        <v>0.58968018753280027</v>
      </c>
      <c r="P132" s="6"/>
    </row>
    <row r="133" spans="1:30" x14ac:dyDescent="0.2">
      <c r="B133" s="23" t="s">
        <v>133</v>
      </c>
      <c r="C133" s="8">
        <v>70.972799692477921</v>
      </c>
      <c r="D133" s="8">
        <v>0.31577598457808315</v>
      </c>
      <c r="E133" s="8">
        <v>16.789514382327823</v>
      </c>
      <c r="F133" s="8">
        <v>1.3913201827698445</v>
      </c>
      <c r="G133" s="8">
        <v>5.4175834607411155E-2</v>
      </c>
      <c r="H133" s="8">
        <v>0.19749305327496944</v>
      </c>
      <c r="I133" s="8">
        <v>3.7507333125374376</v>
      </c>
      <c r="J133" s="8">
        <v>4.7791583690616397</v>
      </c>
      <c r="K133" s="8">
        <v>1.5190605798906183</v>
      </c>
      <c r="L133" s="8">
        <v>1.9943541287794585E-2</v>
      </c>
      <c r="M133" s="8">
        <v>0.2713252799152473</v>
      </c>
      <c r="N133" s="8">
        <v>100</v>
      </c>
      <c r="O133" s="8">
        <v>2.5533053313857601</v>
      </c>
      <c r="P133" s="6" t="s">
        <v>581</v>
      </c>
    </row>
    <row r="134" spans="1:30" x14ac:dyDescent="0.2">
      <c r="B134" s="23" t="s">
        <v>134</v>
      </c>
      <c r="C134" s="8">
        <v>72.41548619652994</v>
      </c>
      <c r="D134" s="8">
        <v>0.33142866394290715</v>
      </c>
      <c r="E134" s="8">
        <v>15.404632766579592</v>
      </c>
      <c r="F134" s="8">
        <v>1.5967605014692849</v>
      </c>
      <c r="G134" s="8">
        <v>5.2660125092703861E-2</v>
      </c>
      <c r="H134" s="8">
        <v>0.31072115616990897</v>
      </c>
      <c r="I134" s="8">
        <v>3.5318470496812062</v>
      </c>
      <c r="J134" s="8">
        <v>3.9254668421461338</v>
      </c>
      <c r="K134" s="8">
        <v>2.2560360233822001</v>
      </c>
      <c r="L134" s="8">
        <v>0</v>
      </c>
      <c r="M134" s="8">
        <v>0.22597734710097253</v>
      </c>
      <c r="N134" s="8">
        <v>100</v>
      </c>
      <c r="O134" s="8">
        <v>2.3958254116509625</v>
      </c>
      <c r="P134" s="6" t="s">
        <v>581</v>
      </c>
    </row>
    <row r="135" spans="1:30" ht="17" customHeight="1" x14ac:dyDescent="0.2">
      <c r="B135" s="23" t="s">
        <v>574</v>
      </c>
      <c r="C135" s="8">
        <v>77.195593410875304</v>
      </c>
      <c r="D135" s="8">
        <v>0.30796361983999304</v>
      </c>
      <c r="E135" s="8">
        <v>12.904192152250374</v>
      </c>
      <c r="F135" s="8">
        <v>1.3030220924707747</v>
      </c>
      <c r="G135" s="8">
        <v>1.0918028161781505E-2</v>
      </c>
      <c r="H135" s="8">
        <v>0.15309249814051398</v>
      </c>
      <c r="I135" s="8">
        <v>1.3233124156897913</v>
      </c>
      <c r="J135" s="8">
        <v>3.4314141383326677</v>
      </c>
      <c r="K135" s="8">
        <v>3.3050762192543846</v>
      </c>
      <c r="L135" s="8">
        <v>8.0615133845792081E-3</v>
      </c>
      <c r="M135" s="8">
        <v>7.4025158376741326E-2</v>
      </c>
      <c r="N135" s="8">
        <v>100</v>
      </c>
      <c r="O135" s="8">
        <v>3.0488736364464821</v>
      </c>
      <c r="P135" s="6" t="s">
        <v>581</v>
      </c>
    </row>
    <row r="136" spans="1:30" x14ac:dyDescent="0.2">
      <c r="B136" s="23" t="s">
        <v>575</v>
      </c>
      <c r="C136" s="8">
        <v>77.887529913328123</v>
      </c>
      <c r="D136" s="8">
        <v>0.32698944670204572</v>
      </c>
      <c r="E136" s="8">
        <v>12.34634924728083</v>
      </c>
      <c r="F136" s="8">
        <v>1.2131685784572306</v>
      </c>
      <c r="G136" s="8">
        <v>1.690690651393886E-2</v>
      </c>
      <c r="H136" s="8">
        <v>6.8606970958978428E-2</v>
      </c>
      <c r="I136" s="8">
        <v>2.1986191485561268</v>
      </c>
      <c r="J136" s="8">
        <v>4.5668051620468493</v>
      </c>
      <c r="K136" s="8">
        <v>1.3060742749299925</v>
      </c>
      <c r="L136" s="8">
        <v>0</v>
      </c>
      <c r="M136" s="8">
        <v>8.8972062172679819E-2</v>
      </c>
      <c r="N136" s="8">
        <v>100</v>
      </c>
      <c r="O136" s="8">
        <v>1.5917949401445741</v>
      </c>
      <c r="P136" s="6" t="s">
        <v>581</v>
      </c>
    </row>
    <row r="137" spans="1:30" x14ac:dyDescent="0.2">
      <c r="B137" s="2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6"/>
    </row>
    <row r="138" spans="1:30" x14ac:dyDescent="0.2">
      <c r="A138" s="1" t="s">
        <v>76</v>
      </c>
      <c r="B138" s="23" t="s">
        <v>35</v>
      </c>
      <c r="C138" s="8">
        <v>74.599400000000003</v>
      </c>
      <c r="D138" s="8">
        <v>6.8741999999999998E-2</v>
      </c>
      <c r="E138" s="8">
        <v>13.1919</v>
      </c>
      <c r="F138" s="8">
        <v>1.6111899999999999</v>
      </c>
      <c r="G138" s="8">
        <v>9.8288E-2</v>
      </c>
      <c r="H138" s="8">
        <v>4.727E-2</v>
      </c>
      <c r="I138" s="8">
        <v>0.70418800000000004</v>
      </c>
      <c r="J138" s="8">
        <v>3.9398399999999998</v>
      </c>
      <c r="K138" s="8">
        <v>5.0853999999999999</v>
      </c>
      <c r="L138" s="8">
        <v>0</v>
      </c>
      <c r="M138" s="8">
        <v>0.33374199999999998</v>
      </c>
      <c r="N138" s="8">
        <v>99.604699999999994</v>
      </c>
      <c r="O138" s="8">
        <f t="shared" ref="O138:O141" si="19">100-N138</f>
        <v>0.39530000000000598</v>
      </c>
    </row>
    <row r="139" spans="1:30" x14ac:dyDescent="0.2">
      <c r="B139" s="23" t="s">
        <v>36</v>
      </c>
      <c r="C139" s="8">
        <v>74.357799999999997</v>
      </c>
      <c r="D139" s="8">
        <v>9.2946000000000001E-2</v>
      </c>
      <c r="E139" s="8">
        <v>13.0541</v>
      </c>
      <c r="F139" s="8">
        <v>1.6383000000000001</v>
      </c>
      <c r="G139" s="8">
        <v>4.5370000000000001E-2</v>
      </c>
      <c r="H139" s="8">
        <v>5.6406999999999999E-2</v>
      </c>
      <c r="I139" s="8">
        <v>0.74026499999999995</v>
      </c>
      <c r="J139" s="8">
        <v>3.8796499999999998</v>
      </c>
      <c r="K139" s="8">
        <v>5.0347400000000002</v>
      </c>
      <c r="L139" s="8">
        <v>9.7216999999999998E-2</v>
      </c>
      <c r="M139" s="8">
        <v>0.34809099999999998</v>
      </c>
      <c r="N139" s="8">
        <v>99.266400000000004</v>
      </c>
      <c r="O139" s="8">
        <f t="shared" si="19"/>
        <v>0.73359999999999559</v>
      </c>
    </row>
    <row r="140" spans="1:30" x14ac:dyDescent="0.2">
      <c r="B140" s="23" t="s">
        <v>37</v>
      </c>
      <c r="C140" s="8">
        <v>74.210499999999996</v>
      </c>
      <c r="D140" s="8">
        <v>8.2375000000000004E-2</v>
      </c>
      <c r="E140" s="8">
        <v>12.9262</v>
      </c>
      <c r="F140" s="8">
        <v>1.5962799999999999</v>
      </c>
      <c r="G140" s="8">
        <v>6.1996000000000002E-2</v>
      </c>
      <c r="H140" s="8">
        <v>5.6444000000000001E-2</v>
      </c>
      <c r="I140" s="8">
        <v>0.71716299999999999</v>
      </c>
      <c r="J140" s="8">
        <v>3.6751900000000002</v>
      </c>
      <c r="K140" s="8">
        <v>5.1139900000000003</v>
      </c>
      <c r="L140" s="8">
        <v>0</v>
      </c>
      <c r="M140" s="8">
        <v>0.35393599999999997</v>
      </c>
      <c r="N140" s="8">
        <v>98.714299999999994</v>
      </c>
      <c r="O140" s="8">
        <f t="shared" si="19"/>
        <v>1.2857000000000056</v>
      </c>
    </row>
    <row r="141" spans="1:30" x14ac:dyDescent="0.2">
      <c r="B141" s="23" t="s">
        <v>38</v>
      </c>
      <c r="C141" s="8">
        <v>74.448499999999996</v>
      </c>
      <c r="D141" s="8">
        <v>9.5948000000000006E-2</v>
      </c>
      <c r="E141" s="8">
        <v>12.9796</v>
      </c>
      <c r="F141" s="8">
        <v>1.6271899999999999</v>
      </c>
      <c r="G141" s="8">
        <v>7.7115000000000003E-2</v>
      </c>
      <c r="H141" s="8">
        <v>4.1161999999999997E-2</v>
      </c>
      <c r="I141" s="8">
        <v>0.70959000000000005</v>
      </c>
      <c r="J141" s="8">
        <v>4.2359799999999996</v>
      </c>
      <c r="K141" s="8">
        <v>5.0116199999999997</v>
      </c>
      <c r="L141" s="8">
        <v>8.9413999999999993E-2</v>
      </c>
      <c r="M141" s="8">
        <v>0.362315</v>
      </c>
      <c r="N141" s="8">
        <v>99.596699999999998</v>
      </c>
      <c r="O141" s="8">
        <f t="shared" si="19"/>
        <v>0.40330000000000155</v>
      </c>
    </row>
    <row r="142" spans="1:30" x14ac:dyDescent="0.2">
      <c r="B142" s="24" t="s">
        <v>20</v>
      </c>
      <c r="C142" s="18">
        <f>AVERAGE(C138:C141)</f>
        <v>74.404049999999998</v>
      </c>
      <c r="D142" s="18">
        <f>AVERAGE(D138:D141)</f>
        <v>8.5002750000000002E-2</v>
      </c>
      <c r="E142" s="18">
        <f t="shared" ref="E142:H142" si="20">AVERAGE(E138:E141)</f>
        <v>13.03795</v>
      </c>
      <c r="F142" s="18">
        <f t="shared" si="20"/>
        <v>1.6182399999999999</v>
      </c>
      <c r="G142" s="18">
        <f t="shared" si="20"/>
        <v>7.0692249999999998E-2</v>
      </c>
      <c r="H142" s="18">
        <f t="shared" si="20"/>
        <v>5.0320749999999997E-2</v>
      </c>
      <c r="I142" s="18">
        <f>AVERAGE(I138:I141)</f>
        <v>0.71780149999999998</v>
      </c>
      <c r="J142" s="18">
        <f t="shared" ref="J142:O142" si="21">AVERAGE(J138:J141)</f>
        <v>3.9326650000000001</v>
      </c>
      <c r="K142" s="18">
        <f t="shared" si="21"/>
        <v>5.0614375000000003</v>
      </c>
      <c r="L142" s="18">
        <f t="shared" si="21"/>
        <v>4.6657749999999998E-2</v>
      </c>
      <c r="M142" s="18">
        <f t="shared" si="21"/>
        <v>0.34952099999999997</v>
      </c>
      <c r="N142" s="18">
        <f t="shared" si="21"/>
        <v>99.295524999999998</v>
      </c>
      <c r="O142" s="18">
        <f t="shared" si="21"/>
        <v>0.70447500000000218</v>
      </c>
    </row>
    <row r="143" spans="1:30" x14ac:dyDescent="0.2">
      <c r="B143" s="24" t="s">
        <v>21</v>
      </c>
      <c r="C143" s="18">
        <f>STDEV(C138:C141)</f>
        <v>0.16303178626677114</v>
      </c>
      <c r="D143" s="18">
        <f t="shared" ref="D143:F143" si="22">STDEV(D138:D141)</f>
        <v>1.2304616731807057E-2</v>
      </c>
      <c r="E143" s="18">
        <f t="shared" si="22"/>
        <v>0.11525943200739257</v>
      </c>
      <c r="F143" s="18">
        <f t="shared" si="22"/>
        <v>1.8388857133238838E-2</v>
      </c>
      <c r="G143" s="18">
        <f>STDEV(G138:G141)</f>
        <v>2.2506430523667392E-2</v>
      </c>
      <c r="H143" s="18">
        <f t="shared" ref="H143:I143" si="23">STDEV(H138:H141)</f>
        <v>7.4772188847191424E-3</v>
      </c>
      <c r="I143" s="18">
        <f t="shared" si="23"/>
        <v>1.5893107824882204E-2</v>
      </c>
      <c r="J143" s="18">
        <f>STDEV(J138:J141)</f>
        <v>0.23177247154627006</v>
      </c>
      <c r="K143" s="18">
        <f t="shared" ref="K143:O143" si="24">STDEV(K138:K141)</f>
        <v>4.6656569651729429E-2</v>
      </c>
      <c r="L143" s="18">
        <f t="shared" si="24"/>
        <v>5.3969824731819653E-2</v>
      </c>
      <c r="M143" s="18">
        <f t="shared" si="24"/>
        <v>1.2030522321717101E-2</v>
      </c>
      <c r="N143" s="18">
        <f t="shared" si="24"/>
        <v>0.41831659760680534</v>
      </c>
      <c r="O143" s="18">
        <f t="shared" si="24"/>
        <v>0.4183165976068054</v>
      </c>
    </row>
    <row r="144" spans="1:30" x14ac:dyDescent="0.2">
      <c r="B144" s="23"/>
    </row>
    <row r="145" spans="1:16" x14ac:dyDescent="0.2">
      <c r="A145" s="1" t="s">
        <v>76</v>
      </c>
      <c r="B145" s="23" t="s">
        <v>40</v>
      </c>
      <c r="C145" s="8">
        <v>76.262299025762275</v>
      </c>
      <c r="D145" s="8">
        <v>0.34707885831162416</v>
      </c>
      <c r="E145" s="8">
        <v>13.22763124910494</v>
      </c>
      <c r="F145" s="8">
        <v>1.7946892011885016</v>
      </c>
      <c r="G145" s="8">
        <v>3.4764486466984303E-2</v>
      </c>
      <c r="H145" s="8">
        <v>0.30082402505592776</v>
      </c>
      <c r="I145" s="8">
        <v>1.4850043570375795</v>
      </c>
      <c r="J145" s="8">
        <v>2.4862612503893331</v>
      </c>
      <c r="K145" s="8">
        <v>3.7401637493571132</v>
      </c>
      <c r="L145" s="8">
        <v>0.10587242916779221</v>
      </c>
      <c r="M145" s="8">
        <v>0.27826418122455904</v>
      </c>
      <c r="N145" s="8">
        <v>100</v>
      </c>
      <c r="O145" s="8">
        <v>4.4292173835515332</v>
      </c>
      <c r="P145" s="6"/>
    </row>
    <row r="146" spans="1:16" x14ac:dyDescent="0.2">
      <c r="B146" s="23" t="s">
        <v>41</v>
      </c>
      <c r="C146" s="8">
        <v>76.121030855369838</v>
      </c>
      <c r="D146" s="8">
        <v>0.30112239141469344</v>
      </c>
      <c r="E146" s="8">
        <v>12.777431289892411</v>
      </c>
      <c r="F146" s="8">
        <v>1.7051948604868381</v>
      </c>
      <c r="G146" s="8">
        <v>5.9215324500739901E-2</v>
      </c>
      <c r="H146" s="8">
        <v>0.25694917045993543</v>
      </c>
      <c r="I146" s="8">
        <v>1.4947640828214246</v>
      </c>
      <c r="J146" s="8">
        <v>3.4002452924922442</v>
      </c>
      <c r="K146" s="8">
        <v>3.643087466265174</v>
      </c>
      <c r="L146" s="8">
        <v>2.474436611445913E-2</v>
      </c>
      <c r="M146" s="8">
        <v>0.27927749125097528</v>
      </c>
      <c r="N146" s="8">
        <v>100</v>
      </c>
      <c r="O146" s="8">
        <v>5.7813188887616711</v>
      </c>
      <c r="P146" s="6"/>
    </row>
    <row r="147" spans="1:16" x14ac:dyDescent="0.2">
      <c r="B147" s="23" t="s">
        <v>42</v>
      </c>
      <c r="C147" s="8">
        <v>75.648766447370122</v>
      </c>
      <c r="D147" s="8">
        <v>0.31450689767689149</v>
      </c>
      <c r="E147" s="8">
        <v>13.227709946506009</v>
      </c>
      <c r="F147" s="8">
        <v>1.8444722122853012</v>
      </c>
      <c r="G147" s="8">
        <v>0.11046386905635755</v>
      </c>
      <c r="H147" s="8">
        <v>0.31604448923995487</v>
      </c>
      <c r="I147" s="8">
        <v>1.5208991810777051</v>
      </c>
      <c r="J147" s="8">
        <v>3.2242420861499288</v>
      </c>
      <c r="K147" s="8">
        <v>3.6253940682617842</v>
      </c>
      <c r="L147" s="8">
        <v>0</v>
      </c>
      <c r="M147" s="8">
        <v>0.21621211448954089</v>
      </c>
      <c r="N147" s="8">
        <v>100</v>
      </c>
      <c r="O147" s="8">
        <v>2.8489339841696233</v>
      </c>
      <c r="P147" s="6"/>
    </row>
    <row r="148" spans="1:16" x14ac:dyDescent="0.2">
      <c r="B148" s="23" t="s">
        <v>43</v>
      </c>
      <c r="C148" s="8">
        <v>76.132998115001129</v>
      </c>
      <c r="D148" s="8">
        <v>0.39061235841786862</v>
      </c>
      <c r="E148" s="8">
        <v>13.117648309599595</v>
      </c>
      <c r="F148" s="8">
        <v>1.7829718219099171</v>
      </c>
      <c r="G148" s="8">
        <v>4.6179905719134794E-2</v>
      </c>
      <c r="H148" s="8">
        <v>0.28778174822141495</v>
      </c>
      <c r="I148" s="8">
        <v>1.4734781621328386</v>
      </c>
      <c r="J148" s="8">
        <v>2.8612536256861278</v>
      </c>
      <c r="K148" s="8">
        <v>3.6660002816015567</v>
      </c>
      <c r="L148" s="8">
        <v>1.2309239504972763E-2</v>
      </c>
      <c r="M148" s="8">
        <v>0.29546910349061445</v>
      </c>
      <c r="N148" s="8">
        <v>100</v>
      </c>
      <c r="O148" s="8">
        <v>5.2341583737091684</v>
      </c>
      <c r="P148" s="6"/>
    </row>
    <row r="149" spans="1:16" x14ac:dyDescent="0.2">
      <c r="B149" s="24" t="s">
        <v>20</v>
      </c>
      <c r="C149" s="18">
        <f>AVERAGE(C145:C148)</f>
        <v>76.041273610875834</v>
      </c>
      <c r="D149" s="18">
        <f t="shared" ref="D149:O149" si="25">AVERAGE(D145:D148)</f>
        <v>0.33833012645526944</v>
      </c>
      <c r="E149" s="18">
        <f t="shared" si="25"/>
        <v>13.087605198775739</v>
      </c>
      <c r="F149" s="18">
        <f t="shared" si="25"/>
        <v>1.7818320239676395</v>
      </c>
      <c r="G149" s="18">
        <f t="shared" si="25"/>
        <v>6.2655896435804131E-2</v>
      </c>
      <c r="H149" s="18">
        <f t="shared" si="25"/>
        <v>0.29039985824430825</v>
      </c>
      <c r="I149" s="18">
        <f t="shared" si="25"/>
        <v>1.493536445767387</v>
      </c>
      <c r="J149" s="18">
        <f t="shared" si="25"/>
        <v>2.9930005636794084</v>
      </c>
      <c r="K149" s="18">
        <f t="shared" si="25"/>
        <v>3.668661391371407</v>
      </c>
      <c r="L149" s="18">
        <f t="shared" si="25"/>
        <v>3.5731508696806025E-2</v>
      </c>
      <c r="M149" s="18">
        <f t="shared" si="25"/>
        <v>0.26730572261392244</v>
      </c>
      <c r="N149" s="18">
        <f t="shared" si="25"/>
        <v>100</v>
      </c>
      <c r="O149" s="18">
        <f t="shared" si="25"/>
        <v>4.5734071575479991</v>
      </c>
      <c r="P149" s="6"/>
    </row>
    <row r="150" spans="1:16" x14ac:dyDescent="0.2">
      <c r="B150" s="24" t="s">
        <v>21</v>
      </c>
      <c r="C150" s="18">
        <f>STDEV(C145:C148)</f>
        <v>0.26937502367228416</v>
      </c>
      <c r="D150" s="18">
        <f t="shared" ref="D150:O150" si="26">STDEV(D145:D148)</f>
        <v>3.9841075388607095E-2</v>
      </c>
      <c r="E150" s="18">
        <f t="shared" si="26"/>
        <v>0.21318777119970728</v>
      </c>
      <c r="F150" s="18">
        <f t="shared" si="26"/>
        <v>5.763001001877719E-2</v>
      </c>
      <c r="G150" s="18">
        <f t="shared" si="26"/>
        <v>3.3400742514064427E-2</v>
      </c>
      <c r="H150" s="18">
        <f t="shared" si="26"/>
        <v>2.5113829961191457E-2</v>
      </c>
      <c r="I150" s="18">
        <f t="shared" si="26"/>
        <v>2.0210209110383421E-2</v>
      </c>
      <c r="J150" s="18">
        <f t="shared" si="26"/>
        <v>0.40557074934164483</v>
      </c>
      <c r="K150" s="18">
        <f t="shared" si="26"/>
        <v>5.0483514131298285E-2</v>
      </c>
      <c r="L150" s="18">
        <f t="shared" si="26"/>
        <v>4.7839347245012508E-2</v>
      </c>
      <c r="M150" s="18">
        <f t="shared" si="26"/>
        <v>3.4962569856889093E-2</v>
      </c>
      <c r="N150" s="18">
        <f t="shared" si="26"/>
        <v>0</v>
      </c>
      <c r="O150" s="18">
        <f t="shared" si="26"/>
        <v>1.2767460380055902</v>
      </c>
      <c r="P150" s="6"/>
    </row>
    <row r="151" spans="1:16" x14ac:dyDescent="0.2">
      <c r="B151" s="2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6"/>
    </row>
    <row r="152" spans="1:16" x14ac:dyDescent="0.2">
      <c r="A152" s="1" t="s">
        <v>76</v>
      </c>
      <c r="B152" s="40" t="s">
        <v>147</v>
      </c>
      <c r="C152" s="39">
        <v>75.617237589335588</v>
      </c>
      <c r="D152" s="39">
        <v>0.50112387217910936</v>
      </c>
      <c r="E152" s="39">
        <v>12.751444949384741</v>
      </c>
      <c r="F152" s="39">
        <v>2.4078717620995094</v>
      </c>
      <c r="G152" s="39">
        <v>6.4825201168928023E-2</v>
      </c>
      <c r="H152" s="39">
        <v>0.52843595589835002</v>
      </c>
      <c r="I152" s="39">
        <v>2.1583105764483137</v>
      </c>
      <c r="J152" s="39">
        <v>3.5301178872649088</v>
      </c>
      <c r="K152" s="39">
        <v>2.1513638914716147</v>
      </c>
      <c r="L152" s="39">
        <v>4.3747818145050653E-2</v>
      </c>
      <c r="M152" s="39">
        <v>0.31713144781898089</v>
      </c>
      <c r="N152" s="39">
        <v>100</v>
      </c>
      <c r="O152" s="39">
        <v>1.8575509779991874</v>
      </c>
      <c r="P152" s="1" t="s">
        <v>81</v>
      </c>
    </row>
    <row r="153" spans="1:16" x14ac:dyDescent="0.2">
      <c r="B153" s="40" t="s">
        <v>148</v>
      </c>
      <c r="C153" s="39">
        <v>75.790292477215232</v>
      </c>
      <c r="D153" s="39">
        <v>0.44010490882472869</v>
      </c>
      <c r="E153" s="39">
        <v>12.698075528756425</v>
      </c>
      <c r="F153" s="39">
        <v>2.3807926284662564</v>
      </c>
      <c r="G153" s="39">
        <v>2.3095816290540059E-2</v>
      </c>
      <c r="H153" s="39">
        <v>0.54101459373672034</v>
      </c>
      <c r="I153" s="39">
        <v>1.9362522742586159</v>
      </c>
      <c r="J153" s="39">
        <v>3.6425930084627822</v>
      </c>
      <c r="K153" s="39">
        <v>2.2951931052001608</v>
      </c>
      <c r="L153" s="39">
        <v>0</v>
      </c>
      <c r="M153" s="39">
        <v>0.32624250402820543</v>
      </c>
      <c r="N153" s="39">
        <v>100</v>
      </c>
      <c r="O153" s="39">
        <v>1.6138690243304104</v>
      </c>
      <c r="P153" s="6"/>
    </row>
    <row r="154" spans="1:16" x14ac:dyDescent="0.2">
      <c r="B154" s="40" t="s">
        <v>149</v>
      </c>
      <c r="C154" s="39">
        <v>76.093800119721109</v>
      </c>
      <c r="D154" s="39">
        <v>0.32918320837182702</v>
      </c>
      <c r="E154" s="39">
        <v>12.747126317497159</v>
      </c>
      <c r="F154" s="39">
        <v>2.0344237928247537</v>
      </c>
      <c r="G154" s="39">
        <v>0.10888478197580116</v>
      </c>
      <c r="H154" s="39">
        <v>0.38229134360423639</v>
      </c>
      <c r="I154" s="39">
        <v>2.0906780798537672</v>
      </c>
      <c r="J154" s="39">
        <v>3.7508423743009298</v>
      </c>
      <c r="K154" s="39">
        <v>2.2600481107954091</v>
      </c>
      <c r="L154" s="39">
        <v>0</v>
      </c>
      <c r="M154" s="39">
        <v>0.26189765703442619</v>
      </c>
      <c r="N154" s="39">
        <v>100</v>
      </c>
      <c r="O154" s="39">
        <v>1.1949757672479833</v>
      </c>
      <c r="P154" s="6"/>
    </row>
    <row r="155" spans="1:16" x14ac:dyDescent="0.2">
      <c r="B155" s="40" t="s">
        <v>150</v>
      </c>
      <c r="C155" s="39">
        <v>76.22815846386662</v>
      </c>
      <c r="D155" s="39">
        <v>0.32396717560722033</v>
      </c>
      <c r="E155" s="39">
        <v>11.987306764864831</v>
      </c>
      <c r="F155" s="39">
        <v>2.5404872955267903</v>
      </c>
      <c r="G155" s="39">
        <v>0.10859054717667724</v>
      </c>
      <c r="H155" s="39">
        <v>0.89389165894184586</v>
      </c>
      <c r="I155" s="39">
        <v>2.8422898536723724</v>
      </c>
      <c r="J155" s="39">
        <v>3.1152332462647054</v>
      </c>
      <c r="K155" s="39">
        <v>1.6507893300888679</v>
      </c>
      <c r="L155" s="39">
        <v>8.7993828311987918E-2</v>
      </c>
      <c r="M155" s="39">
        <v>0.28577025733876454</v>
      </c>
      <c r="N155" s="39">
        <v>100</v>
      </c>
      <c r="O155" s="39">
        <v>2.4100977759015816</v>
      </c>
      <c r="P155" s="6"/>
    </row>
    <row r="156" spans="1:16" x14ac:dyDescent="0.2">
      <c r="B156" s="40" t="s">
        <v>151</v>
      </c>
      <c r="C156" s="39">
        <v>76.450660831084477</v>
      </c>
      <c r="D156" s="39">
        <v>0.35814363577972563</v>
      </c>
      <c r="E156" s="39">
        <v>12.915685569328444</v>
      </c>
      <c r="F156" s="39">
        <v>1.8356562601364783</v>
      </c>
      <c r="G156" s="39">
        <v>7.6174739966139077E-2</v>
      </c>
      <c r="H156" s="39">
        <v>0.4272363843970719</v>
      </c>
      <c r="I156" s="39">
        <v>1.9337169687328695</v>
      </c>
      <c r="J156" s="39">
        <v>3.6079694665870132</v>
      </c>
      <c r="K156" s="39">
        <v>2.1410075221730596</v>
      </c>
      <c r="L156" s="39">
        <v>8.023521842375975E-3</v>
      </c>
      <c r="M156" s="39">
        <v>0.31727628932295543</v>
      </c>
      <c r="N156" s="39">
        <v>100</v>
      </c>
      <c r="O156" s="39">
        <v>2.5632345951166378</v>
      </c>
      <c r="P156" s="6"/>
    </row>
    <row r="157" spans="1:16" x14ac:dyDescent="0.2">
      <c r="B157" s="40" t="s">
        <v>152</v>
      </c>
      <c r="C157" s="39">
        <v>77.416789519219918</v>
      </c>
      <c r="D157" s="39">
        <v>0.42819833303367794</v>
      </c>
      <c r="E157" s="39">
        <v>11.697676618324531</v>
      </c>
      <c r="F157" s="39">
        <v>2.1257678212863498</v>
      </c>
      <c r="G157" s="39">
        <v>4.0263719764288032E-2</v>
      </c>
      <c r="H157" s="39">
        <v>0.39553171508712748</v>
      </c>
      <c r="I157" s="39">
        <v>1.5539359196332081</v>
      </c>
      <c r="J157" s="39">
        <v>3.6655070848926004</v>
      </c>
      <c r="K157" s="39">
        <v>2.4211686510135806</v>
      </c>
      <c r="L157" s="39">
        <v>5.5962829668828422E-2</v>
      </c>
      <c r="M157" s="39">
        <v>0.25727836225786532</v>
      </c>
      <c r="N157" s="39">
        <v>100</v>
      </c>
      <c r="O157" s="39">
        <v>2.2077467743515076</v>
      </c>
      <c r="P157" s="6"/>
    </row>
    <row r="158" spans="1:16" x14ac:dyDescent="0.2">
      <c r="B158" s="40" t="s">
        <v>153</v>
      </c>
      <c r="C158" s="39">
        <v>77.741718060329262</v>
      </c>
      <c r="D158" s="39">
        <v>0.46663170841164181</v>
      </c>
      <c r="E158" s="39">
        <v>12.309407892320786</v>
      </c>
      <c r="F158" s="39">
        <v>1.7693659111869333</v>
      </c>
      <c r="G158" s="39">
        <v>3.7075903550083673E-2</v>
      </c>
      <c r="H158" s="39">
        <v>0.26739025860930515</v>
      </c>
      <c r="I158" s="39">
        <v>1.6679977939982116</v>
      </c>
      <c r="J158" s="39">
        <v>3.2434230353697227</v>
      </c>
      <c r="K158" s="39">
        <v>2.3239553035883302</v>
      </c>
      <c r="L158" s="39">
        <v>3.1934116387233265E-2</v>
      </c>
      <c r="M158" s="39">
        <v>0.18218335431281699</v>
      </c>
      <c r="N158" s="39">
        <v>100</v>
      </c>
      <c r="O158" s="39">
        <v>1.9184769643291859</v>
      </c>
      <c r="P158" s="6"/>
    </row>
    <row r="159" spans="1:16" x14ac:dyDescent="0.2">
      <c r="B159" s="40" t="s">
        <v>154</v>
      </c>
      <c r="C159" s="39">
        <v>79.023681453798687</v>
      </c>
      <c r="D159" s="39">
        <v>0.29452261411809122</v>
      </c>
      <c r="E159" s="39">
        <v>11.423625238194269</v>
      </c>
      <c r="F159" s="39">
        <v>1.7823745537203566</v>
      </c>
      <c r="G159" s="39">
        <v>6.055122129507564E-2</v>
      </c>
      <c r="H159" s="39">
        <v>0.3317068873085583</v>
      </c>
      <c r="I159" s="39">
        <v>1.3340509164259959</v>
      </c>
      <c r="J159" s="39">
        <v>3.0235082829346576</v>
      </c>
      <c r="K159" s="39">
        <v>2.352087193935513</v>
      </c>
      <c r="L159" s="39">
        <v>0.14051076441284738</v>
      </c>
      <c r="M159" s="39">
        <v>0.30131921110314314</v>
      </c>
      <c r="N159" s="39">
        <v>100</v>
      </c>
      <c r="O159" s="39">
        <v>2.3429752304160258</v>
      </c>
      <c r="P159" s="6"/>
    </row>
    <row r="160" spans="1:16" x14ac:dyDescent="0.2">
      <c r="B160" s="24" t="s">
        <v>20</v>
      </c>
      <c r="C160" s="18">
        <f t="shared" ref="C160:O160" si="27">AVERAGE(C152:C159)</f>
        <v>76.795292314321358</v>
      </c>
      <c r="D160" s="18">
        <f t="shared" si="27"/>
        <v>0.39273443204075276</v>
      </c>
      <c r="E160" s="18">
        <f t="shared" si="27"/>
        <v>12.316293609833899</v>
      </c>
      <c r="F160" s="18">
        <f t="shared" si="27"/>
        <v>2.1095925031559282</v>
      </c>
      <c r="G160" s="18">
        <f t="shared" si="27"/>
        <v>6.4932741398441615E-2</v>
      </c>
      <c r="H160" s="18">
        <f t="shared" si="27"/>
        <v>0.47093734969790196</v>
      </c>
      <c r="I160" s="18">
        <f t="shared" si="27"/>
        <v>1.9396540478779192</v>
      </c>
      <c r="J160" s="18">
        <f t="shared" si="27"/>
        <v>3.4473992982596653</v>
      </c>
      <c r="K160" s="18">
        <f t="shared" si="27"/>
        <v>2.1994516385333172</v>
      </c>
      <c r="L160" s="18">
        <f t="shared" si="27"/>
        <v>4.6021609846040451E-2</v>
      </c>
      <c r="M160" s="18">
        <f t="shared" si="27"/>
        <v>0.28113738540214478</v>
      </c>
      <c r="N160" s="18">
        <f t="shared" si="27"/>
        <v>100</v>
      </c>
      <c r="O160" s="18">
        <f t="shared" si="27"/>
        <v>2.0136158887115649</v>
      </c>
      <c r="P160" s="6"/>
    </row>
    <row r="161" spans="1:16" x14ac:dyDescent="0.2">
      <c r="B161" s="24" t="s">
        <v>21</v>
      </c>
      <c r="C161" s="18">
        <f t="shared" ref="C161:O161" si="28">STDEV(C152:C159)</f>
        <v>1.1697398487113788</v>
      </c>
      <c r="D161" s="18">
        <f t="shared" si="28"/>
        <v>7.5895140523693547E-2</v>
      </c>
      <c r="E161" s="18">
        <f t="shared" si="28"/>
        <v>0.55649736569860986</v>
      </c>
      <c r="F161" s="18">
        <f t="shared" si="28"/>
        <v>0.30518591707382486</v>
      </c>
      <c r="G161" s="18">
        <f t="shared" si="28"/>
        <v>3.1888802417099057E-2</v>
      </c>
      <c r="H161" s="18">
        <f t="shared" si="28"/>
        <v>0.19397264019094021</v>
      </c>
      <c r="I161" s="18">
        <f t="shared" si="28"/>
        <v>0.45899702802467174</v>
      </c>
      <c r="J161" s="18">
        <f t="shared" si="28"/>
        <v>0.27825954744436082</v>
      </c>
      <c r="K161" s="18">
        <f t="shared" si="28"/>
        <v>0.24129236704538451</v>
      </c>
      <c r="L161" s="18">
        <f t="shared" si="28"/>
        <v>4.8803036708057621E-2</v>
      </c>
      <c r="M161" s="18">
        <f t="shared" si="28"/>
        <v>4.7503615839868257E-2</v>
      </c>
      <c r="N161" s="18">
        <f t="shared" si="28"/>
        <v>0</v>
      </c>
      <c r="O161" s="18">
        <f t="shared" si="28"/>
        <v>0.45807358444565793</v>
      </c>
      <c r="P161" s="6"/>
    </row>
    <row r="162" spans="1:16" x14ac:dyDescent="0.2">
      <c r="B162" s="40" t="s">
        <v>146</v>
      </c>
      <c r="C162" s="39">
        <v>72.498925753198023</v>
      </c>
      <c r="D162" s="39">
        <v>0.2617423785981734</v>
      </c>
      <c r="E162" s="39">
        <v>15.543562002282323</v>
      </c>
      <c r="F162" s="39">
        <v>1.7458495981149669</v>
      </c>
      <c r="G162" s="39">
        <v>4.4407286595732877E-2</v>
      </c>
      <c r="H162" s="39">
        <v>0.32554686995765497</v>
      </c>
      <c r="I162" s="39">
        <v>3.3297776074103447</v>
      </c>
      <c r="J162" s="39">
        <v>4.1547228291496836</v>
      </c>
      <c r="K162" s="39">
        <v>1.9317179786081562</v>
      </c>
      <c r="L162" s="39">
        <v>0</v>
      </c>
      <c r="M162" s="39">
        <v>0.21151178262883505</v>
      </c>
      <c r="N162" s="39">
        <v>100</v>
      </c>
      <c r="O162" s="39">
        <v>1.1693775817489382</v>
      </c>
      <c r="P162" s="5" t="s">
        <v>579</v>
      </c>
    </row>
    <row r="163" spans="1:16" x14ac:dyDescent="0.2">
      <c r="B163" s="2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6"/>
    </row>
    <row r="164" spans="1:16" x14ac:dyDescent="0.2">
      <c r="A164" s="1" t="s">
        <v>76</v>
      </c>
      <c r="B164" s="23" t="s">
        <v>155</v>
      </c>
      <c r="C164" s="8">
        <v>75.174722310370711</v>
      </c>
      <c r="D164" s="8">
        <v>0.43892812745750848</v>
      </c>
      <c r="E164" s="8">
        <v>13.138462941661036</v>
      </c>
      <c r="F164" s="8">
        <v>2.3059289456502441</v>
      </c>
      <c r="G164" s="8">
        <v>5.9798438968916415E-2</v>
      </c>
      <c r="H164" s="8">
        <v>0.51549642548001651</v>
      </c>
      <c r="I164" s="8">
        <v>2.3793356382568223</v>
      </c>
      <c r="J164" s="8">
        <v>3.5113542223538894</v>
      </c>
      <c r="K164" s="8">
        <v>2.1756012188758751</v>
      </c>
      <c r="L164" s="8">
        <v>6.3162322402499776E-2</v>
      </c>
      <c r="M164" s="8">
        <v>0.30641175253212488</v>
      </c>
      <c r="N164" s="8">
        <v>100</v>
      </c>
      <c r="O164" s="8">
        <v>1.1390088269199441</v>
      </c>
      <c r="P164" s="1" t="s">
        <v>82</v>
      </c>
    </row>
    <row r="165" spans="1:16" x14ac:dyDescent="0.2">
      <c r="B165" s="23" t="s">
        <v>156</v>
      </c>
      <c r="C165" s="8">
        <v>75.542827583485391</v>
      </c>
      <c r="D165" s="8">
        <v>0.4198732365167826</v>
      </c>
      <c r="E165" s="8">
        <v>13.155323982047163</v>
      </c>
      <c r="F165" s="8">
        <v>2.1627702848040644</v>
      </c>
      <c r="G165" s="8">
        <v>6.4709823950807252E-2</v>
      </c>
      <c r="H165" s="8">
        <v>0.45838746211053233</v>
      </c>
      <c r="I165" s="8">
        <v>2.3473467839945936</v>
      </c>
      <c r="J165" s="8">
        <v>3.55325740053858</v>
      </c>
      <c r="K165" s="8">
        <v>2.0843863990927454</v>
      </c>
      <c r="L165" s="8">
        <v>1.9825259004464021E-2</v>
      </c>
      <c r="M165" s="8">
        <v>0.24701881104497656</v>
      </c>
      <c r="N165" s="8">
        <v>100</v>
      </c>
      <c r="O165" s="8">
        <v>1.4546799266364132</v>
      </c>
      <c r="P165" s="6"/>
    </row>
    <row r="166" spans="1:16" x14ac:dyDescent="0.2">
      <c r="B166" s="23" t="s">
        <v>157</v>
      </c>
      <c r="C166" s="8">
        <v>75.993253709504529</v>
      </c>
      <c r="D166" s="8">
        <v>0.39596514105605973</v>
      </c>
      <c r="E166" s="8">
        <v>12.734135603170326</v>
      </c>
      <c r="F166" s="8">
        <v>2.0123045991193984</v>
      </c>
      <c r="G166" s="8">
        <v>5.9918674898674688E-2</v>
      </c>
      <c r="H166" s="8">
        <v>0.43343658295233362</v>
      </c>
      <c r="I166" s="8">
        <v>2.164672468861061</v>
      </c>
      <c r="J166" s="8">
        <v>3.6752118163624186</v>
      </c>
      <c r="K166" s="8">
        <v>2.277237623759234</v>
      </c>
      <c r="L166" s="8">
        <v>5.9327505380144724E-2</v>
      </c>
      <c r="M166" s="8">
        <v>0.25122275073748968</v>
      </c>
      <c r="N166" s="8">
        <v>100</v>
      </c>
      <c r="O166" s="8">
        <v>1.2276572825292122</v>
      </c>
      <c r="P166" s="6"/>
    </row>
    <row r="167" spans="1:16" x14ac:dyDescent="0.2">
      <c r="B167" s="23" t="s">
        <v>158</v>
      </c>
      <c r="C167" s="8">
        <v>76.019460623857611</v>
      </c>
      <c r="D167" s="8">
        <v>0.33383299313133863</v>
      </c>
      <c r="E167" s="8">
        <v>12.676671667289819</v>
      </c>
      <c r="F167" s="8">
        <v>1.8972888295515851</v>
      </c>
      <c r="G167" s="8">
        <v>5.9655103311333245E-2</v>
      </c>
      <c r="H167" s="8">
        <v>0.3956494767207458</v>
      </c>
      <c r="I167" s="8">
        <v>1.8735690664999021</v>
      </c>
      <c r="J167" s="8">
        <v>3.8191539131741363</v>
      </c>
      <c r="K167" s="8">
        <v>2.667566470470383</v>
      </c>
      <c r="L167" s="8">
        <v>0</v>
      </c>
      <c r="M167" s="8">
        <v>0.3321371409131576</v>
      </c>
      <c r="N167" s="8">
        <v>100</v>
      </c>
      <c r="O167" s="8">
        <v>0.76364932745511471</v>
      </c>
      <c r="P167" s="6"/>
    </row>
    <row r="168" spans="1:16" x14ac:dyDescent="0.2">
      <c r="B168" s="23" t="s">
        <v>159</v>
      </c>
      <c r="C168" s="8">
        <v>76.249223031089613</v>
      </c>
      <c r="D168" s="8">
        <v>0.39459436388452074</v>
      </c>
      <c r="E168" s="8">
        <v>12.793663964184818</v>
      </c>
      <c r="F168" s="8">
        <v>1.939214359690282</v>
      </c>
      <c r="G168" s="8">
        <v>2.5996973543037174E-2</v>
      </c>
      <c r="H168" s="8">
        <v>0.37674796721205855</v>
      </c>
      <c r="I168" s="8">
        <v>1.9049125873794155</v>
      </c>
      <c r="J168" s="8">
        <v>3.6747046170664524</v>
      </c>
      <c r="K168" s="8">
        <v>2.4616133170170409</v>
      </c>
      <c r="L168" s="8">
        <v>1.1815614899440956E-2</v>
      </c>
      <c r="M168" s="8">
        <v>0.21628058711212655</v>
      </c>
      <c r="N168" s="8">
        <v>100</v>
      </c>
      <c r="O168" s="8">
        <v>0.79862565638079441</v>
      </c>
      <c r="P168" s="6"/>
    </row>
    <row r="169" spans="1:16" x14ac:dyDescent="0.2">
      <c r="B169" s="23" t="s">
        <v>160</v>
      </c>
      <c r="C169" s="8">
        <v>76.302042285898182</v>
      </c>
      <c r="D169" s="8">
        <v>0.43627163938939928</v>
      </c>
      <c r="E169" s="8">
        <v>12.561128343328997</v>
      </c>
      <c r="F169" s="8">
        <v>2.0662810851226121</v>
      </c>
      <c r="G169" s="8">
        <v>4.8879442674866123E-2</v>
      </c>
      <c r="H169" s="8">
        <v>0.4114612376970152</v>
      </c>
      <c r="I169" s="8">
        <v>1.9927695299478247</v>
      </c>
      <c r="J169" s="8">
        <v>3.8200826601558497</v>
      </c>
      <c r="K169" s="8">
        <v>2.1675030113971308</v>
      </c>
      <c r="L169" s="8">
        <v>0</v>
      </c>
      <c r="M169" s="8">
        <v>0.24994432401214306</v>
      </c>
      <c r="N169" s="8">
        <v>100</v>
      </c>
      <c r="O169" s="8">
        <v>0.72835732363293948</v>
      </c>
      <c r="P169" s="6"/>
    </row>
    <row r="170" spans="1:16" x14ac:dyDescent="0.2">
      <c r="B170" s="23" t="s">
        <v>161</v>
      </c>
      <c r="C170" s="8">
        <v>76.438304481430521</v>
      </c>
      <c r="D170" s="8">
        <v>0.31135141093193736</v>
      </c>
      <c r="E170" s="8">
        <v>12.492353467715619</v>
      </c>
      <c r="F170" s="8">
        <v>1.9083233886075381</v>
      </c>
      <c r="G170" s="8">
        <v>5.6915388247996052E-2</v>
      </c>
      <c r="H170" s="8">
        <v>0.37869255243710909</v>
      </c>
      <c r="I170" s="8">
        <v>2.0937669764410538</v>
      </c>
      <c r="J170" s="8">
        <v>3.7836006366040968</v>
      </c>
      <c r="K170" s="8">
        <v>2.309306880677636</v>
      </c>
      <c r="L170" s="8">
        <v>6.7365469952247223E-2</v>
      </c>
      <c r="M170" s="8">
        <v>0.20664684314516771</v>
      </c>
      <c r="N170" s="8">
        <v>100</v>
      </c>
      <c r="O170" s="8">
        <v>1.368529481532486</v>
      </c>
      <c r="P170" s="6"/>
    </row>
    <row r="171" spans="1:16" x14ac:dyDescent="0.2">
      <c r="B171" s="23" t="s">
        <v>162</v>
      </c>
      <c r="C171" s="8">
        <v>76.57775890996767</v>
      </c>
      <c r="D171" s="8">
        <v>0.39318743962942343</v>
      </c>
      <c r="E171" s="8">
        <v>12.688764687592494</v>
      </c>
      <c r="F171" s="8">
        <v>1.9918075245801339</v>
      </c>
      <c r="G171" s="8">
        <v>4.6087563723378924E-2</v>
      </c>
      <c r="H171" s="8">
        <v>0.42467034578809182</v>
      </c>
      <c r="I171" s="8">
        <v>1.7268455553231323</v>
      </c>
      <c r="J171" s="8">
        <v>3.5035784576844478</v>
      </c>
      <c r="K171" s="8">
        <v>2.3596735403769205</v>
      </c>
      <c r="L171" s="8">
        <v>9.1060105743772865E-2</v>
      </c>
      <c r="M171" s="8">
        <v>0.25383301967107796</v>
      </c>
      <c r="N171" s="8">
        <v>100</v>
      </c>
      <c r="O171" s="8">
        <v>1.2735425054472258</v>
      </c>
      <c r="P171" s="6"/>
    </row>
    <row r="172" spans="1:16" x14ac:dyDescent="0.2">
      <c r="B172" s="23" t="s">
        <v>163</v>
      </c>
      <c r="C172" s="8">
        <v>76.579280779176202</v>
      </c>
      <c r="D172" s="8">
        <v>0.37335494528135404</v>
      </c>
      <c r="E172" s="8">
        <v>13.162456303749146</v>
      </c>
      <c r="F172" s="8">
        <v>1.504557329483786</v>
      </c>
      <c r="G172" s="8">
        <v>1.224484898291606E-2</v>
      </c>
      <c r="H172" s="8">
        <v>0.1827005691680918</v>
      </c>
      <c r="I172" s="8">
        <v>1.8103860976075814</v>
      </c>
      <c r="J172" s="8">
        <v>3.5785071959667674</v>
      </c>
      <c r="K172" s="8">
        <v>2.6691289945292183</v>
      </c>
      <c r="L172" s="8">
        <v>0</v>
      </c>
      <c r="M172" s="8">
        <v>0.16448860015289821</v>
      </c>
      <c r="N172" s="8">
        <v>100</v>
      </c>
      <c r="O172" s="8">
        <v>0.84705141587926125</v>
      </c>
      <c r="P172" s="6"/>
    </row>
    <row r="173" spans="1:16" x14ac:dyDescent="0.2">
      <c r="B173" s="23" t="s">
        <v>164</v>
      </c>
      <c r="C173" s="8">
        <v>76.587057338072981</v>
      </c>
      <c r="D173" s="8">
        <v>0.34630591438134278</v>
      </c>
      <c r="E173" s="8">
        <v>12.691293115700908</v>
      </c>
      <c r="F173" s="8">
        <v>1.8059749423736231</v>
      </c>
      <c r="G173" s="8">
        <v>5.8263484033715042E-2</v>
      </c>
      <c r="H173" s="8">
        <v>0.33347179532067278</v>
      </c>
      <c r="I173" s="8">
        <v>1.9370756151442694</v>
      </c>
      <c r="J173" s="8">
        <v>3.9813464989649239</v>
      </c>
      <c r="K173" s="8">
        <v>2.062273219842591</v>
      </c>
      <c r="L173" s="8">
        <v>6.7261619646701146E-2</v>
      </c>
      <c r="M173" s="8">
        <v>0.16738634702755231</v>
      </c>
      <c r="N173" s="8">
        <v>100</v>
      </c>
      <c r="O173" s="8">
        <v>1.079932745294228</v>
      </c>
      <c r="P173" s="6"/>
    </row>
    <row r="174" spans="1:16" x14ac:dyDescent="0.2">
      <c r="B174" s="23" t="s">
        <v>165</v>
      </c>
      <c r="C174" s="8">
        <v>76.646230098677023</v>
      </c>
      <c r="D174" s="8">
        <v>0.34444032664544411</v>
      </c>
      <c r="E174" s="8">
        <v>13.094719238876804</v>
      </c>
      <c r="F174" s="8">
        <v>1.7244118742431238</v>
      </c>
      <c r="G174" s="8">
        <v>1.5310208315639632E-3</v>
      </c>
      <c r="H174" s="8">
        <v>0.34898797322885033</v>
      </c>
      <c r="I174" s="8">
        <v>2.2957339457922625</v>
      </c>
      <c r="J174" s="8">
        <v>3.3704762553060825</v>
      </c>
      <c r="K174" s="8">
        <v>1.9742902181369415</v>
      </c>
      <c r="L174" s="8">
        <v>0.10266619980993784</v>
      </c>
      <c r="M174" s="8">
        <v>0.12472622178510272</v>
      </c>
      <c r="N174" s="8">
        <v>100</v>
      </c>
      <c r="O174" s="8">
        <v>0.92424730151372314</v>
      </c>
      <c r="P174" s="6"/>
    </row>
    <row r="175" spans="1:16" x14ac:dyDescent="0.2">
      <c r="B175" s="23" t="s">
        <v>166</v>
      </c>
      <c r="C175" s="8">
        <v>76.666410470334554</v>
      </c>
      <c r="D175" s="8">
        <v>0.3889498619982662</v>
      </c>
      <c r="E175" s="8">
        <v>12.524992217660962</v>
      </c>
      <c r="F175" s="8">
        <v>1.9437175807054421</v>
      </c>
      <c r="G175" s="8">
        <v>6.2671766368103676E-2</v>
      </c>
      <c r="H175" s="8">
        <v>0.40347661034358323</v>
      </c>
      <c r="I175" s="8">
        <v>1.9779810586485262</v>
      </c>
      <c r="J175" s="8">
        <v>3.6166691341873345</v>
      </c>
      <c r="K175" s="8">
        <v>2.1402091649965547</v>
      </c>
      <c r="L175" s="8">
        <v>9.0592877257152205E-2</v>
      </c>
      <c r="M175" s="8">
        <v>0.23805366618734866</v>
      </c>
      <c r="N175" s="8">
        <v>100</v>
      </c>
      <c r="O175" s="8">
        <v>0.65651569648696939</v>
      </c>
      <c r="P175" s="6"/>
    </row>
    <row r="176" spans="1:16" x14ac:dyDescent="0.2">
      <c r="B176" s="23" t="s">
        <v>167</v>
      </c>
      <c r="C176" s="8">
        <v>76.787268187740139</v>
      </c>
      <c r="D176" s="8">
        <v>0.38042833889643124</v>
      </c>
      <c r="E176" s="8">
        <v>12.721167144205447</v>
      </c>
      <c r="F176" s="8">
        <v>1.9146764679174855</v>
      </c>
      <c r="G176" s="8">
        <v>6.6361044037818798E-2</v>
      </c>
      <c r="H176" s="8">
        <v>0.38130027889919721</v>
      </c>
      <c r="I176" s="8">
        <v>1.8927100914183974</v>
      </c>
      <c r="J176" s="8">
        <v>3.4311093467069962</v>
      </c>
      <c r="K176" s="8">
        <v>2.2700250856141704</v>
      </c>
      <c r="L176" s="8">
        <v>0</v>
      </c>
      <c r="M176" s="8">
        <v>0.20011073935125534</v>
      </c>
      <c r="N176" s="8">
        <v>100</v>
      </c>
      <c r="O176" s="8">
        <v>1.7432908711805533</v>
      </c>
      <c r="P176" s="6"/>
    </row>
    <row r="177" spans="1:16" x14ac:dyDescent="0.2">
      <c r="B177" s="23" t="s">
        <v>168</v>
      </c>
      <c r="C177" s="8">
        <v>77.079697962465261</v>
      </c>
      <c r="D177" s="8">
        <v>0.38142458529899126</v>
      </c>
      <c r="E177" s="8">
        <v>12.475261625506441</v>
      </c>
      <c r="F177" s="8">
        <v>2.0895747028290592</v>
      </c>
      <c r="G177" s="8">
        <v>1.5347318896604217E-2</v>
      </c>
      <c r="H177" s="8">
        <v>0.41055899328348638</v>
      </c>
      <c r="I177" s="8">
        <v>1.8362043095736094</v>
      </c>
      <c r="J177" s="8">
        <v>3.3007460942856239</v>
      </c>
      <c r="K177" s="8">
        <v>2.2327374237336297</v>
      </c>
      <c r="L177" s="8">
        <v>0</v>
      </c>
      <c r="M177" s="8">
        <v>0.23059933499014929</v>
      </c>
      <c r="N177" s="8">
        <v>100</v>
      </c>
      <c r="O177" s="8">
        <v>1.1822184638991156</v>
      </c>
      <c r="P177" s="6"/>
    </row>
    <row r="178" spans="1:16" x14ac:dyDescent="0.2">
      <c r="B178" s="23" t="s">
        <v>169</v>
      </c>
      <c r="C178" s="8">
        <v>77.085058157102353</v>
      </c>
      <c r="D178" s="8">
        <v>0.33134914798195536</v>
      </c>
      <c r="E178" s="8">
        <v>12.493479159313136</v>
      </c>
      <c r="F178" s="8">
        <v>1.9231920636321655</v>
      </c>
      <c r="G178" s="8">
        <v>0.10167114874513755</v>
      </c>
      <c r="H178" s="8">
        <v>0.40628181843407596</v>
      </c>
      <c r="I178" s="8">
        <v>1.9471963283414342</v>
      </c>
      <c r="J178" s="8">
        <v>3.1640887739409851</v>
      </c>
      <c r="K178" s="8">
        <v>2.2583995471462148</v>
      </c>
      <c r="L178" s="8">
        <v>0.12703288201657884</v>
      </c>
      <c r="M178" s="8">
        <v>0.2094782988834136</v>
      </c>
      <c r="N178" s="8">
        <v>100</v>
      </c>
      <c r="O178" s="8">
        <v>1.4550494897244315</v>
      </c>
      <c r="P178" s="6"/>
    </row>
    <row r="179" spans="1:16" x14ac:dyDescent="0.2">
      <c r="B179" s="23" t="s">
        <v>170</v>
      </c>
      <c r="C179" s="8">
        <v>77.120843941416354</v>
      </c>
      <c r="D179" s="8">
        <v>0.39435872934643257</v>
      </c>
      <c r="E179" s="8">
        <v>12.109863828367228</v>
      </c>
      <c r="F179" s="8">
        <v>2.0138521835888641</v>
      </c>
      <c r="G179" s="8">
        <v>7.6834481740957111E-2</v>
      </c>
      <c r="H179" s="8">
        <v>0.32173212479544466</v>
      </c>
      <c r="I179" s="8">
        <v>1.6373690912206413</v>
      </c>
      <c r="J179" s="8">
        <v>3.5678427801652735</v>
      </c>
      <c r="K179" s="8">
        <v>2.5089834505345538</v>
      </c>
      <c r="L179" s="8">
        <v>1.9791895549453573E-2</v>
      </c>
      <c r="M179" s="8">
        <v>0.29510584347579588</v>
      </c>
      <c r="N179" s="8">
        <v>100</v>
      </c>
      <c r="O179" s="8">
        <v>1.1752149547774888</v>
      </c>
      <c r="P179" s="6"/>
    </row>
    <row r="180" spans="1:16" x14ac:dyDescent="0.2">
      <c r="B180" s="23" t="s">
        <v>171</v>
      </c>
      <c r="C180" s="8">
        <v>77.187353287648634</v>
      </c>
      <c r="D180" s="8">
        <v>0.3324253554574999</v>
      </c>
      <c r="E180" s="8">
        <v>12.439587401442454</v>
      </c>
      <c r="F180" s="8">
        <v>1.7913253031044825</v>
      </c>
      <c r="G180" s="8">
        <v>6.771931512361079E-2</v>
      </c>
      <c r="H180" s="8">
        <v>0.34456418198145244</v>
      </c>
      <c r="I180" s="8">
        <v>1.8342462811416911</v>
      </c>
      <c r="J180" s="8">
        <v>3.6171130011305093</v>
      </c>
      <c r="K180" s="8">
        <v>2.1667749630037174</v>
      </c>
      <c r="L180" s="8">
        <v>7.9340496620964013E-2</v>
      </c>
      <c r="M180" s="8">
        <v>0.18011615716138357</v>
      </c>
      <c r="N180" s="8">
        <v>100</v>
      </c>
      <c r="O180" s="8">
        <v>1.3003965947805274</v>
      </c>
      <c r="P180" s="6"/>
    </row>
    <row r="181" spans="1:16" x14ac:dyDescent="0.2">
      <c r="B181" s="23" t="s">
        <v>172</v>
      </c>
      <c r="C181" s="8">
        <v>77.219537339187411</v>
      </c>
      <c r="D181" s="8">
        <v>0.33847772959391298</v>
      </c>
      <c r="E181" s="8">
        <v>12.473602332353936</v>
      </c>
      <c r="F181" s="8">
        <v>1.8826285959115703</v>
      </c>
      <c r="G181" s="8">
        <v>4.1770707261917173E-2</v>
      </c>
      <c r="H181" s="8">
        <v>0.35618383542809723</v>
      </c>
      <c r="I181" s="8">
        <v>1.8309326808068689</v>
      </c>
      <c r="J181" s="8">
        <v>3.4233096160931074</v>
      </c>
      <c r="K181" s="8">
        <v>2.1927633008079415</v>
      </c>
      <c r="L181" s="8">
        <v>7.5857382645549726E-2</v>
      </c>
      <c r="M181" s="8">
        <v>0.21296371843556322</v>
      </c>
      <c r="N181" s="8">
        <v>100</v>
      </c>
      <c r="O181" s="8">
        <v>1.9643295950719433</v>
      </c>
      <c r="P181" s="6"/>
    </row>
    <row r="182" spans="1:16" x14ac:dyDescent="0.2">
      <c r="B182" s="23" t="s">
        <v>173</v>
      </c>
      <c r="C182" s="8">
        <v>77.408422837917186</v>
      </c>
      <c r="D182" s="8">
        <v>0.35183325658660819</v>
      </c>
      <c r="E182" s="8">
        <v>12.633298046272639</v>
      </c>
      <c r="F182" s="8">
        <v>1.8257827064348926</v>
      </c>
      <c r="G182" s="8">
        <v>0.10016793885062278</v>
      </c>
      <c r="H182" s="8">
        <v>0.30453788163346734</v>
      </c>
      <c r="I182" s="8">
        <v>1.7980085086683564</v>
      </c>
      <c r="J182" s="8">
        <v>3.2727838701034804</v>
      </c>
      <c r="K182" s="8">
        <v>2.1418843661655247</v>
      </c>
      <c r="L182" s="8">
        <v>0</v>
      </c>
      <c r="M182" s="8">
        <v>0.21092745728844048</v>
      </c>
      <c r="N182" s="8">
        <v>100</v>
      </c>
      <c r="O182" s="8">
        <v>1.5881410626790364</v>
      </c>
      <c r="P182" s="6"/>
    </row>
    <row r="183" spans="1:16" x14ac:dyDescent="0.2">
      <c r="B183" s="23" t="s">
        <v>174</v>
      </c>
      <c r="C183" s="8">
        <v>78.198465537098258</v>
      </c>
      <c r="D183" s="8">
        <v>0.37693134208977391</v>
      </c>
      <c r="E183" s="8">
        <v>11.780601101542183</v>
      </c>
      <c r="F183" s="8">
        <v>1.9295058132721155</v>
      </c>
      <c r="G183" s="8">
        <v>6.7756644572965E-2</v>
      </c>
      <c r="H183" s="8">
        <v>0.2761131971256367</v>
      </c>
      <c r="I183" s="8">
        <v>1.4606398985081932</v>
      </c>
      <c r="J183" s="8">
        <v>3.2461821210888586</v>
      </c>
      <c r="K183" s="8">
        <v>2.4765938397248157</v>
      </c>
      <c r="L183" s="8">
        <v>7.9460028101546801E-3</v>
      </c>
      <c r="M183" s="8">
        <v>0.23143760553729545</v>
      </c>
      <c r="N183" s="8">
        <v>100</v>
      </c>
      <c r="O183" s="8">
        <v>1.4685584236327371</v>
      </c>
      <c r="P183" s="6"/>
    </row>
    <row r="184" spans="1:16" x14ac:dyDescent="0.2">
      <c r="B184" s="24" t="s">
        <v>20</v>
      </c>
      <c r="C184" s="18">
        <f t="shared" ref="C184:O184" si="29">AVERAGE(C164:C183)</f>
        <v>76.643160943622021</v>
      </c>
      <c r="D184" s="18">
        <f t="shared" si="29"/>
        <v>0.37321419427774905</v>
      </c>
      <c r="E184" s="18">
        <f t="shared" si="29"/>
        <v>12.642041308599078</v>
      </c>
      <c r="F184" s="18">
        <f t="shared" si="29"/>
        <v>1.9316559290311233</v>
      </c>
      <c r="G184" s="18">
        <f t="shared" si="29"/>
        <v>5.4715056438247089E-2</v>
      </c>
      <c r="H184" s="18">
        <f t="shared" si="29"/>
        <v>0.37322256550199795</v>
      </c>
      <c r="I184" s="18">
        <f t="shared" si="29"/>
        <v>1.9370851256787815</v>
      </c>
      <c r="J184" s="18">
        <f t="shared" si="29"/>
        <v>3.5455559205939906</v>
      </c>
      <c r="K184" s="18">
        <f t="shared" si="29"/>
        <v>2.2798476017951419</v>
      </c>
      <c r="L184" s="18">
        <f t="shared" si="29"/>
        <v>4.4152281686953079E-2</v>
      </c>
      <c r="M184" s="18">
        <f t="shared" si="29"/>
        <v>0.22644446097222309</v>
      </c>
      <c r="N184" s="18">
        <f t="shared" si="29"/>
        <v>100</v>
      </c>
      <c r="O184" s="18">
        <f t="shared" si="29"/>
        <v>1.2069498472727072</v>
      </c>
      <c r="P184" s="6"/>
    </row>
    <row r="185" spans="1:16" x14ac:dyDescent="0.2">
      <c r="B185" s="24" t="s">
        <v>21</v>
      </c>
      <c r="C185" s="18">
        <f t="shared" ref="C185:O185" si="30">STDEV(C164:C183)</f>
        <v>0.67946328474623652</v>
      </c>
      <c r="D185" s="18">
        <f t="shared" si="30"/>
        <v>3.6043338159250086E-2</v>
      </c>
      <c r="E185" s="18">
        <f t="shared" si="30"/>
        <v>0.34154834907174247</v>
      </c>
      <c r="F185" s="18">
        <f t="shared" si="30"/>
        <v>0.16704746581939786</v>
      </c>
      <c r="G185" s="18">
        <f t="shared" si="30"/>
        <v>2.5930821115318924E-2</v>
      </c>
      <c r="H185" s="18">
        <f t="shared" si="30"/>
        <v>7.0940774570838222E-2</v>
      </c>
      <c r="I185" s="18">
        <f t="shared" si="30"/>
        <v>0.23047260189523985</v>
      </c>
      <c r="J185" s="18">
        <f t="shared" si="30"/>
        <v>0.21437965353673377</v>
      </c>
      <c r="K185" s="18">
        <f t="shared" si="30"/>
        <v>0.19159156087259907</v>
      </c>
      <c r="L185" s="18">
        <f t="shared" si="30"/>
        <v>4.2175362559013579E-2</v>
      </c>
      <c r="M185" s="18">
        <f t="shared" si="30"/>
        <v>4.9478907211402919E-2</v>
      </c>
      <c r="N185" s="18">
        <f t="shared" si="30"/>
        <v>0</v>
      </c>
      <c r="O185" s="18">
        <f t="shared" si="30"/>
        <v>0.35278941676902309</v>
      </c>
      <c r="P185" s="6"/>
    </row>
    <row r="186" spans="1:16" x14ac:dyDescent="0.2">
      <c r="B186" s="2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6"/>
    </row>
    <row r="187" spans="1:16" x14ac:dyDescent="0.2">
      <c r="A187" s="1" t="s">
        <v>76</v>
      </c>
      <c r="B187" s="23" t="s">
        <v>39</v>
      </c>
      <c r="C187" s="8">
        <v>74.113399999999999</v>
      </c>
      <c r="D187" s="8">
        <v>4.1176999999999998E-2</v>
      </c>
      <c r="E187" s="8">
        <v>12.980600000000001</v>
      </c>
      <c r="F187" s="8">
        <v>1.60775</v>
      </c>
      <c r="G187" s="8">
        <v>7.4339000000000002E-2</v>
      </c>
      <c r="H187" s="8">
        <v>4.6184000000000003E-2</v>
      </c>
      <c r="I187" s="8">
        <v>0.72609000000000001</v>
      </c>
      <c r="J187" s="8">
        <v>4.0707800000000001</v>
      </c>
      <c r="K187" s="8">
        <v>5.0626600000000002</v>
      </c>
      <c r="L187" s="8">
        <v>0</v>
      </c>
      <c r="M187" s="8">
        <v>0.31525700000000001</v>
      </c>
      <c r="N187" s="8">
        <v>98.967100000000002</v>
      </c>
      <c r="O187" s="8">
        <f t="shared" ref="O187:O190" si="31">100-N187</f>
        <v>1.0328999999999979</v>
      </c>
    </row>
    <row r="188" spans="1:16" x14ac:dyDescent="0.2">
      <c r="B188" s="23" t="s">
        <v>45</v>
      </c>
      <c r="C188" s="8">
        <v>74.403499999999994</v>
      </c>
      <c r="D188" s="8">
        <v>0.112985</v>
      </c>
      <c r="E188" s="8">
        <v>13.148999999999999</v>
      </c>
      <c r="F188" s="8">
        <v>1.6329499999999999</v>
      </c>
      <c r="G188" s="8">
        <v>6.8255999999999997E-2</v>
      </c>
      <c r="H188" s="8">
        <v>2.7267E-2</v>
      </c>
      <c r="I188" s="8">
        <v>0.75452399999999997</v>
      </c>
      <c r="J188" s="8">
        <v>3.93547</v>
      </c>
      <c r="K188" s="8">
        <v>5.0625</v>
      </c>
      <c r="L188" s="8">
        <v>0</v>
      </c>
      <c r="M188" s="8">
        <v>0.34380300000000003</v>
      </c>
      <c r="N188" s="8">
        <v>99.412599999999998</v>
      </c>
      <c r="O188" s="8">
        <f t="shared" si="31"/>
        <v>0.58740000000000236</v>
      </c>
    </row>
    <row r="189" spans="1:16" x14ac:dyDescent="0.2">
      <c r="B189" s="23" t="s">
        <v>46</v>
      </c>
      <c r="C189" s="8">
        <v>74.624600000000001</v>
      </c>
      <c r="D189" s="8">
        <v>0.10809199999999999</v>
      </c>
      <c r="E189" s="8">
        <v>13.0266</v>
      </c>
      <c r="F189" s="8">
        <v>1.6421600000000001</v>
      </c>
      <c r="G189" s="8">
        <v>2.7300000000000001E-2</v>
      </c>
      <c r="H189" s="8">
        <v>4.5315000000000001E-2</v>
      </c>
      <c r="I189" s="8">
        <v>0.74844599999999994</v>
      </c>
      <c r="J189" s="8">
        <v>3.7357900000000002</v>
      </c>
      <c r="K189" s="8">
        <v>5.2814500000000004</v>
      </c>
      <c r="L189" s="8">
        <v>0</v>
      </c>
      <c r="M189" s="8">
        <v>0.30547400000000002</v>
      </c>
      <c r="N189" s="8">
        <v>99.476299999999995</v>
      </c>
      <c r="O189" s="8">
        <f t="shared" si="31"/>
        <v>0.52370000000000516</v>
      </c>
    </row>
    <row r="190" spans="1:16" x14ac:dyDescent="0.2">
      <c r="B190" s="23" t="s">
        <v>47</v>
      </c>
      <c r="C190" s="8">
        <v>74.894499999999994</v>
      </c>
      <c r="D190" s="8">
        <v>9.5449999999999993E-2</v>
      </c>
      <c r="E190" s="8">
        <v>13.182499999999999</v>
      </c>
      <c r="F190" s="8">
        <v>1.54111</v>
      </c>
      <c r="G190" s="8">
        <v>4.5498999999999998E-2</v>
      </c>
      <c r="H190" s="8">
        <v>6.7289000000000002E-2</v>
      </c>
      <c r="I190" s="8">
        <v>0.72917900000000002</v>
      </c>
      <c r="J190" s="8">
        <v>3.8739499999999998</v>
      </c>
      <c r="K190" s="8">
        <v>5.1884100000000002</v>
      </c>
      <c r="L190" s="8">
        <v>1.5547999999999999E-2</v>
      </c>
      <c r="M190" s="8">
        <v>0.31031900000000001</v>
      </c>
      <c r="N190" s="8">
        <v>99.873800000000003</v>
      </c>
      <c r="O190" s="8">
        <f t="shared" si="31"/>
        <v>0.1261999999999972</v>
      </c>
    </row>
    <row r="191" spans="1:16" x14ac:dyDescent="0.2">
      <c r="B191" s="24" t="s">
        <v>20</v>
      </c>
      <c r="C191" s="18">
        <f>AVERAGE(C187:C190)</f>
        <v>74.509</v>
      </c>
      <c r="D191" s="18">
        <f>AVERAGE(D187:D190)</f>
        <v>8.9425999999999992E-2</v>
      </c>
      <c r="E191" s="18">
        <f t="shared" ref="E191:F191" si="32">AVERAGE(E187:E190)</f>
        <v>13.084674999999999</v>
      </c>
      <c r="F191" s="18">
        <f t="shared" si="32"/>
        <v>1.6059924999999999</v>
      </c>
      <c r="G191" s="18">
        <f>AVERAGE(G187:G190)</f>
        <v>5.3848499999999994E-2</v>
      </c>
      <c r="H191" s="18">
        <f t="shared" ref="H191" si="33">AVERAGE(H187:H190)</f>
        <v>4.6513750000000006E-2</v>
      </c>
      <c r="I191" s="18">
        <f>AVERAGE(I187:I190)</f>
        <v>0.73955974999999996</v>
      </c>
      <c r="J191" s="18">
        <f t="shared" ref="J191:O191" si="34">AVERAGE(J187:J190)</f>
        <v>3.9039975</v>
      </c>
      <c r="K191" s="18">
        <f t="shared" si="34"/>
        <v>5.1487550000000004</v>
      </c>
      <c r="L191" s="18">
        <f t="shared" si="34"/>
        <v>3.8869999999999998E-3</v>
      </c>
      <c r="M191" s="18">
        <f t="shared" si="34"/>
        <v>0.31871325</v>
      </c>
      <c r="N191" s="18">
        <f t="shared" si="34"/>
        <v>99.432450000000003</v>
      </c>
      <c r="O191" s="18">
        <f t="shared" si="34"/>
        <v>0.56755000000000067</v>
      </c>
    </row>
    <row r="192" spans="1:16" x14ac:dyDescent="0.2">
      <c r="B192" s="24" t="s">
        <v>21</v>
      </c>
      <c r="C192" s="18">
        <f>STDEV(C187:C190)</f>
        <v>0.33146302961265411</v>
      </c>
      <c r="D192" s="18">
        <f t="shared" ref="D192:F192" si="35">STDEV(D187:D190)</f>
        <v>3.3003538264858828E-2</v>
      </c>
      <c r="E192" s="18">
        <f t="shared" si="35"/>
        <v>9.6456808123289994E-2</v>
      </c>
      <c r="F192" s="18">
        <f t="shared" si="35"/>
        <v>4.563486413916449E-2</v>
      </c>
      <c r="G192" s="18">
        <f>STDEV(G187:G190)</f>
        <v>2.1617690664515209E-2</v>
      </c>
      <c r="H192" s="18">
        <f t="shared" ref="H192" si="36">STDEV(H187:H190)</f>
        <v>1.6366572994470557E-2</v>
      </c>
      <c r="I192" s="18">
        <f>STDEV(I187:I190)</f>
        <v>1.4048586557017012E-2</v>
      </c>
      <c r="J192" s="18">
        <f>STDEV(J187:J190)</f>
        <v>0.13904859567192085</v>
      </c>
      <c r="K192" s="18">
        <f t="shared" ref="K192:O192" si="37">STDEV(K187:K190)</f>
        <v>0.10650939880279753</v>
      </c>
      <c r="L192" s="18">
        <f t="shared" si="37"/>
        <v>7.7739999999999997E-3</v>
      </c>
      <c r="M192" s="18">
        <f t="shared" si="37"/>
        <v>1.7196728300755353E-2</v>
      </c>
      <c r="N192" s="18">
        <f t="shared" si="37"/>
        <v>0.37132972320208002</v>
      </c>
      <c r="O192" s="18">
        <f t="shared" si="37"/>
        <v>0.37132972320208002</v>
      </c>
    </row>
    <row r="193" spans="1:16" x14ac:dyDescent="0.2">
      <c r="B193" s="23"/>
    </row>
    <row r="194" spans="1:16" x14ac:dyDescent="0.2">
      <c r="A194" s="1" t="s">
        <v>76</v>
      </c>
      <c r="B194" s="23" t="s">
        <v>44</v>
      </c>
      <c r="C194" s="39">
        <v>75.35606683262985</v>
      </c>
      <c r="D194" s="39">
        <v>0.3303811578962364</v>
      </c>
      <c r="E194" s="39">
        <v>12.793495669470378</v>
      </c>
      <c r="F194" s="39">
        <v>1.7725735612350266</v>
      </c>
      <c r="G194" s="39">
        <v>5.3933583164857614E-2</v>
      </c>
      <c r="H194" s="39">
        <v>0.3408010111887973</v>
      </c>
      <c r="I194" s="39">
        <v>1.4242362101075607</v>
      </c>
      <c r="J194" s="39">
        <v>3.8821494933124061</v>
      </c>
      <c r="K194" s="39">
        <v>3.7255520685490726</v>
      </c>
      <c r="L194" s="39">
        <v>7.9106177375095288E-2</v>
      </c>
      <c r="M194" s="39">
        <v>0.31216495078033046</v>
      </c>
      <c r="N194" s="39">
        <v>100</v>
      </c>
      <c r="O194" s="39">
        <v>1.5679237017337033</v>
      </c>
      <c r="P194" s="6"/>
    </row>
    <row r="195" spans="1:16" x14ac:dyDescent="0.2">
      <c r="B195" s="23" t="s">
        <v>51</v>
      </c>
      <c r="C195" s="39">
        <v>76.440141079656442</v>
      </c>
      <c r="D195" s="39">
        <v>0.26914201894132306</v>
      </c>
      <c r="E195" s="39">
        <v>13.116217183475943</v>
      </c>
      <c r="F195" s="39">
        <v>1.7874036718359716</v>
      </c>
      <c r="G195" s="39">
        <v>5.3208248159769871E-2</v>
      </c>
      <c r="H195" s="39">
        <v>0.31119638889075568</v>
      </c>
      <c r="I195" s="39">
        <v>1.4625177564217284</v>
      </c>
      <c r="J195" s="39">
        <v>2.8361869058422555</v>
      </c>
      <c r="K195" s="39">
        <v>3.5142258508780819</v>
      </c>
      <c r="L195" s="39">
        <v>0</v>
      </c>
      <c r="M195" s="39">
        <v>0.27095425858197408</v>
      </c>
      <c r="N195" s="39">
        <v>100</v>
      </c>
      <c r="O195" s="39">
        <v>6.2274115270216317</v>
      </c>
      <c r="P195" s="6"/>
    </row>
    <row r="196" spans="1:16" x14ac:dyDescent="0.2">
      <c r="B196" s="23" t="s">
        <v>52</v>
      </c>
      <c r="C196" s="39">
        <v>75.726452485898122</v>
      </c>
      <c r="D196" s="39">
        <v>0.32271174070922004</v>
      </c>
      <c r="E196" s="39">
        <v>13.129168561044334</v>
      </c>
      <c r="F196" s="39">
        <v>1.7788900937283019</v>
      </c>
      <c r="G196" s="39">
        <v>5.6948578953798762E-2</v>
      </c>
      <c r="H196" s="39">
        <v>0.31482636044560519</v>
      </c>
      <c r="I196" s="39">
        <v>1.3873308332154695</v>
      </c>
      <c r="J196" s="39">
        <v>3.4963834452771763</v>
      </c>
      <c r="K196" s="39">
        <v>3.5815843224316191</v>
      </c>
      <c r="L196" s="39">
        <v>0</v>
      </c>
      <c r="M196" s="39">
        <v>0.26573710644130677</v>
      </c>
      <c r="N196" s="39">
        <v>100</v>
      </c>
      <c r="O196" s="39">
        <v>4.2212564580336798</v>
      </c>
      <c r="P196" s="6"/>
    </row>
    <row r="197" spans="1:16" x14ac:dyDescent="0.2">
      <c r="B197" s="23" t="s">
        <v>53</v>
      </c>
      <c r="C197" s="39">
        <v>76.121011054667491</v>
      </c>
      <c r="D197" s="39">
        <v>0.33024330461581869</v>
      </c>
      <c r="E197" s="39">
        <v>13.277574342451965</v>
      </c>
      <c r="F197" s="39">
        <v>1.6857840681656275</v>
      </c>
      <c r="G197" s="39">
        <v>0.11013681325791859</v>
      </c>
      <c r="H197" s="39">
        <v>0.31712372030002045</v>
      </c>
      <c r="I197" s="39">
        <v>1.4012128105762582</v>
      </c>
      <c r="J197" s="39">
        <v>3.0864397615487622</v>
      </c>
      <c r="K197" s="39">
        <v>3.3482217724458385</v>
      </c>
      <c r="L197" s="39">
        <v>0.10667112385088492</v>
      </c>
      <c r="M197" s="39">
        <v>0.2783746427715153</v>
      </c>
      <c r="N197" s="39">
        <v>100</v>
      </c>
      <c r="O197" s="39">
        <v>5.1164515327160611</v>
      </c>
      <c r="P197" s="6"/>
    </row>
    <row r="198" spans="1:16" x14ac:dyDescent="0.2">
      <c r="B198" s="24" t="s">
        <v>20</v>
      </c>
      <c r="C198" s="18">
        <f>AVERAGE(C194:C197)</f>
        <v>75.910917863212973</v>
      </c>
      <c r="D198" s="18">
        <f t="shared" ref="D198:O198" si="38">AVERAGE(D194:D197)</f>
        <v>0.31311955554064957</v>
      </c>
      <c r="E198" s="18">
        <f t="shared" si="38"/>
        <v>13.079113939110654</v>
      </c>
      <c r="F198" s="18">
        <f t="shared" si="38"/>
        <v>1.756162848741232</v>
      </c>
      <c r="G198" s="18">
        <f t="shared" si="38"/>
        <v>6.8556805884086205E-2</v>
      </c>
      <c r="H198" s="18">
        <f t="shared" si="38"/>
        <v>0.32098687020629468</v>
      </c>
      <c r="I198" s="18">
        <f t="shared" si="38"/>
        <v>1.4188244025802543</v>
      </c>
      <c r="J198" s="18">
        <f t="shared" si="38"/>
        <v>3.3252899014951502</v>
      </c>
      <c r="K198" s="18">
        <f t="shared" si="38"/>
        <v>3.5423960035761528</v>
      </c>
      <c r="L198" s="18">
        <f t="shared" si="38"/>
        <v>4.6444325306495053E-2</v>
      </c>
      <c r="M198" s="18">
        <f t="shared" si="38"/>
        <v>0.28180773964378164</v>
      </c>
      <c r="N198" s="18">
        <f t="shared" si="38"/>
        <v>100</v>
      </c>
      <c r="O198" s="18">
        <f t="shared" si="38"/>
        <v>4.283260804876269</v>
      </c>
      <c r="P198" s="6"/>
    </row>
    <row r="199" spans="1:16" x14ac:dyDescent="0.2">
      <c r="B199" s="24" t="s">
        <v>21</v>
      </c>
      <c r="C199" s="18">
        <f>STDEV(C194:C197)</f>
        <v>0.47120537047214706</v>
      </c>
      <c r="D199" s="18">
        <f t="shared" ref="D199:O199" si="39">STDEV(D194:D197)</f>
        <v>2.95365278930175E-2</v>
      </c>
      <c r="E199" s="18">
        <f t="shared" si="39"/>
        <v>0.20399872839967684</v>
      </c>
      <c r="F199" s="18">
        <f t="shared" si="39"/>
        <v>4.731103089203819E-2</v>
      </c>
      <c r="G199" s="18">
        <f t="shared" si="39"/>
        <v>2.7767275779148389E-2</v>
      </c>
      <c r="H199" s="18">
        <f t="shared" si="39"/>
        <v>1.34329137441622E-2</v>
      </c>
      <c r="I199" s="18">
        <f t="shared" si="39"/>
        <v>3.2865432269983431E-2</v>
      </c>
      <c r="J199" s="18">
        <f t="shared" si="39"/>
        <v>0.46030306517619801</v>
      </c>
      <c r="K199" s="18">
        <f t="shared" si="39"/>
        <v>0.15660891631615728</v>
      </c>
      <c r="L199" s="18">
        <f t="shared" si="39"/>
        <v>5.4797246128519765E-2</v>
      </c>
      <c r="M199" s="18">
        <f t="shared" si="39"/>
        <v>2.0891862249935753E-2</v>
      </c>
      <c r="N199" s="18">
        <f t="shared" si="39"/>
        <v>0</v>
      </c>
      <c r="O199" s="18">
        <f t="shared" si="39"/>
        <v>1.987530204559298</v>
      </c>
      <c r="P199" s="6"/>
    </row>
    <row r="200" spans="1:16" x14ac:dyDescent="0.2">
      <c r="B200" s="2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6"/>
    </row>
    <row r="201" spans="1:16" x14ac:dyDescent="0.2">
      <c r="A201" s="1" t="s">
        <v>76</v>
      </c>
      <c r="B201" s="23" t="s">
        <v>176</v>
      </c>
      <c r="C201" s="8">
        <v>73.933078792939881</v>
      </c>
      <c r="D201" s="8">
        <v>0.23446890454010597</v>
      </c>
      <c r="E201" s="8">
        <v>14.425124578036307</v>
      </c>
      <c r="F201" s="8">
        <v>1.4485148423582106</v>
      </c>
      <c r="G201" s="8">
        <v>3.0721295492985027E-2</v>
      </c>
      <c r="H201" s="8">
        <v>0.14968269645054252</v>
      </c>
      <c r="I201" s="8">
        <v>2.1013398453280168</v>
      </c>
      <c r="J201" s="8">
        <v>4.7566270288673174</v>
      </c>
      <c r="K201" s="8">
        <v>2.7648458591971337</v>
      </c>
      <c r="L201" s="8">
        <v>0</v>
      </c>
      <c r="M201" s="8">
        <v>0.20102834695345531</v>
      </c>
      <c r="N201" s="8">
        <v>100</v>
      </c>
      <c r="O201" s="8">
        <v>1.0502450265937304</v>
      </c>
      <c r="P201" s="1" t="s">
        <v>82</v>
      </c>
    </row>
    <row r="202" spans="1:16" x14ac:dyDescent="0.2">
      <c r="B202" s="23" t="s">
        <v>177</v>
      </c>
      <c r="C202" s="8">
        <v>75.034796132695789</v>
      </c>
      <c r="D202" s="8">
        <v>0.44471724660455775</v>
      </c>
      <c r="E202" s="8">
        <v>13.175500101897464</v>
      </c>
      <c r="F202" s="8">
        <v>2.0909299426398333</v>
      </c>
      <c r="G202" s="8">
        <v>2.797679936070549E-2</v>
      </c>
      <c r="H202" s="8">
        <v>0.45135671081821843</v>
      </c>
      <c r="I202" s="8">
        <v>2.2716481789022613</v>
      </c>
      <c r="J202" s="8">
        <v>4.0322417587391621</v>
      </c>
      <c r="K202" s="8">
        <v>2.1319227517371191</v>
      </c>
      <c r="L202" s="8">
        <v>7.5845392584341378E-2</v>
      </c>
      <c r="M202" s="8">
        <v>0.33973289266463902</v>
      </c>
      <c r="N202" s="8">
        <v>100</v>
      </c>
      <c r="O202" s="8">
        <v>2.3029925063279002</v>
      </c>
    </row>
    <row r="203" spans="1:16" x14ac:dyDescent="0.2">
      <c r="B203" s="23" t="s">
        <v>178</v>
      </c>
      <c r="C203" s="8">
        <v>75.626586702200953</v>
      </c>
      <c r="D203" s="8">
        <v>0.42217708030693485</v>
      </c>
      <c r="E203" s="8">
        <v>13.216198857042219</v>
      </c>
      <c r="F203" s="8">
        <v>1.9695878243821832</v>
      </c>
      <c r="G203" s="8">
        <v>6.4774459947493271E-2</v>
      </c>
      <c r="H203" s="8">
        <v>0.44730274064766234</v>
      </c>
      <c r="I203" s="8">
        <v>2.1149714937719035</v>
      </c>
      <c r="J203" s="8">
        <v>3.5256631143567487</v>
      </c>
      <c r="K203" s="8">
        <v>2.3870798573164933</v>
      </c>
      <c r="L203" s="8">
        <v>7.9265113511272824E-3</v>
      </c>
      <c r="M203" s="8">
        <v>0.28118405661311924</v>
      </c>
      <c r="N203" s="8">
        <v>100</v>
      </c>
      <c r="O203" s="8">
        <v>1.5178195584949143</v>
      </c>
    </row>
    <row r="204" spans="1:16" x14ac:dyDescent="0.2">
      <c r="B204" s="23" t="s">
        <v>179</v>
      </c>
      <c r="C204" s="8">
        <v>75.928707451238282</v>
      </c>
      <c r="D204" s="8">
        <v>0.43213048525248238</v>
      </c>
      <c r="E204" s="8">
        <v>12.951137432417994</v>
      </c>
      <c r="F204" s="8">
        <v>1.5186221683004648</v>
      </c>
      <c r="G204" s="8">
        <v>6.4690787478755479E-2</v>
      </c>
      <c r="H204" s="8">
        <v>0.45586653037451941</v>
      </c>
      <c r="I204" s="8">
        <v>2.2259171703156566</v>
      </c>
      <c r="J204" s="8">
        <v>3.7893809635700446</v>
      </c>
      <c r="K204" s="8">
        <v>2.2630823796001724</v>
      </c>
      <c r="L204" s="8">
        <v>0.18213893316313742</v>
      </c>
      <c r="M204" s="8">
        <v>0.24321460546865148</v>
      </c>
      <c r="N204" s="8">
        <v>100</v>
      </c>
      <c r="O204" s="8">
        <v>1.4057552101380777</v>
      </c>
    </row>
    <row r="205" spans="1:16" x14ac:dyDescent="0.2">
      <c r="B205" s="23" t="s">
        <v>180</v>
      </c>
      <c r="C205" s="8">
        <v>75.955614914625244</v>
      </c>
      <c r="D205" s="8">
        <v>0.37136162651734222</v>
      </c>
      <c r="E205" s="8">
        <v>12.937093491622722</v>
      </c>
      <c r="F205" s="8">
        <v>1.6679269941836179</v>
      </c>
      <c r="G205" s="8">
        <v>7.1059202921084044E-2</v>
      </c>
      <c r="H205" s="8">
        <v>0.34451383379514311</v>
      </c>
      <c r="I205" s="8">
        <v>2.1979459331288997</v>
      </c>
      <c r="J205" s="8">
        <v>4.1230770972818629</v>
      </c>
      <c r="K205" s="8">
        <v>2.174210103669953</v>
      </c>
      <c r="L205" s="8">
        <v>7.9413971133719639E-3</v>
      </c>
      <c r="M205" s="8">
        <v>0.19266952710150426</v>
      </c>
      <c r="N205" s="8">
        <v>100</v>
      </c>
      <c r="O205" s="8">
        <v>1.5653806544566422</v>
      </c>
    </row>
    <row r="206" spans="1:16" x14ac:dyDescent="0.2">
      <c r="B206" s="23" t="s">
        <v>181</v>
      </c>
      <c r="C206" s="8">
        <v>75.970513806724995</v>
      </c>
      <c r="D206" s="8">
        <v>0.35039579596479464</v>
      </c>
      <c r="E206" s="8">
        <v>12.962480373627722</v>
      </c>
      <c r="F206" s="8">
        <v>1.8178648883832162</v>
      </c>
      <c r="G206" s="8">
        <v>0.10217736056820123</v>
      </c>
      <c r="H206" s="8">
        <v>0.38667018428628291</v>
      </c>
      <c r="I206" s="17">
        <v>2.0363804626267759</v>
      </c>
      <c r="J206" s="17">
        <v>4.1917349767698093</v>
      </c>
      <c r="K206" s="17">
        <v>2.0427642892330651</v>
      </c>
      <c r="L206" s="17">
        <v>0</v>
      </c>
      <c r="M206" s="17">
        <v>0.1795380970776162</v>
      </c>
      <c r="N206" s="17">
        <v>100</v>
      </c>
      <c r="O206" s="17">
        <v>0.37463217434991153</v>
      </c>
    </row>
    <row r="207" spans="1:16" x14ac:dyDescent="0.2">
      <c r="B207" s="23" t="s">
        <v>182</v>
      </c>
      <c r="C207" s="8">
        <v>76.06307138970017</v>
      </c>
      <c r="D207" s="8">
        <v>0.41958362903902513</v>
      </c>
      <c r="E207" s="8">
        <v>12.914228239498144</v>
      </c>
      <c r="F207" s="8">
        <v>2.0723573672834719</v>
      </c>
      <c r="G207" s="8">
        <v>5.2245805806144893E-2</v>
      </c>
      <c r="H207" s="8">
        <v>0.46934658986959821</v>
      </c>
      <c r="I207" s="17">
        <v>2.0168216403685237</v>
      </c>
      <c r="J207" s="17">
        <v>3.5936403224949363</v>
      </c>
      <c r="K207" s="17">
        <v>2.1051858708254105</v>
      </c>
      <c r="L207" s="17">
        <v>0.12244223734902203</v>
      </c>
      <c r="M207" s="17">
        <v>0.2208570404287486</v>
      </c>
      <c r="N207" s="17">
        <v>100</v>
      </c>
      <c r="O207" s="17">
        <v>1.0107801290429737</v>
      </c>
    </row>
    <row r="208" spans="1:16" x14ac:dyDescent="0.2">
      <c r="B208" s="23" t="s">
        <v>183</v>
      </c>
      <c r="C208" s="8">
        <v>76.18515120364107</v>
      </c>
      <c r="D208" s="8">
        <v>0.45780728652084041</v>
      </c>
      <c r="E208" s="8">
        <v>12.648562092658574</v>
      </c>
      <c r="F208" s="8">
        <v>1.8070654200292184</v>
      </c>
      <c r="G208" s="8">
        <v>7.4912986247335805E-2</v>
      </c>
      <c r="H208" s="8">
        <v>0.35425334963014099</v>
      </c>
      <c r="I208" s="17">
        <v>1.9027600562021494</v>
      </c>
      <c r="J208" s="17">
        <v>3.8531006893675306</v>
      </c>
      <c r="K208" s="17">
        <v>2.4831686089531271</v>
      </c>
      <c r="L208" s="17">
        <v>1.1788951076652652E-2</v>
      </c>
      <c r="M208" s="17">
        <v>0.28599681262033111</v>
      </c>
      <c r="N208" s="17">
        <v>100</v>
      </c>
      <c r="O208" s="17">
        <v>0.65702763535392972</v>
      </c>
    </row>
    <row r="209" spans="2:16" x14ac:dyDescent="0.2">
      <c r="B209" s="23" t="s">
        <v>184</v>
      </c>
      <c r="C209" s="8">
        <v>76.426657560296093</v>
      </c>
      <c r="D209" s="8">
        <v>0.3568885948023956</v>
      </c>
      <c r="E209" s="8">
        <v>12.875237947215071</v>
      </c>
      <c r="F209" s="8">
        <v>2.016310079842254</v>
      </c>
      <c r="G209" s="8">
        <v>0.11297042754529882</v>
      </c>
      <c r="H209" s="8">
        <v>0.42109880878751438</v>
      </c>
      <c r="I209" s="17">
        <v>2.0623556225309594</v>
      </c>
      <c r="J209" s="17">
        <v>3.4104860227551588</v>
      </c>
      <c r="K209" s="17">
        <v>2.1804835174296038</v>
      </c>
      <c r="L209" s="17">
        <v>2.3897453369332713E-2</v>
      </c>
      <c r="M209" s="17">
        <v>0.14671034477197401</v>
      </c>
      <c r="N209" s="17">
        <v>100</v>
      </c>
      <c r="O209" s="17">
        <v>1.8256140838242452</v>
      </c>
    </row>
    <row r="210" spans="2:16" x14ac:dyDescent="0.2">
      <c r="B210" s="23" t="s">
        <v>185</v>
      </c>
      <c r="C210" s="8">
        <v>76.481644582123437</v>
      </c>
      <c r="D210" s="8">
        <v>0.30480352018951834</v>
      </c>
      <c r="E210" s="8">
        <v>12.514782169610095</v>
      </c>
      <c r="F210" s="8">
        <v>1.8997337438089761</v>
      </c>
      <c r="G210" s="8">
        <v>5.9201829891084121E-2</v>
      </c>
      <c r="H210" s="8">
        <v>0.37393348629225132</v>
      </c>
      <c r="I210" s="17">
        <v>1.9627674139849487</v>
      </c>
      <c r="J210" s="17">
        <v>3.2118161334940631</v>
      </c>
      <c r="K210" s="17">
        <v>3.0045707749076853</v>
      </c>
      <c r="L210" s="17">
        <v>4.0020076169620519E-3</v>
      </c>
      <c r="M210" s="17">
        <v>0.23596775905247894</v>
      </c>
      <c r="N210" s="17">
        <v>100</v>
      </c>
      <c r="O210" s="17">
        <v>2.5104410082492725</v>
      </c>
    </row>
    <row r="211" spans="2:16" x14ac:dyDescent="0.2">
      <c r="B211" s="23" t="s">
        <v>186</v>
      </c>
      <c r="C211" s="8">
        <v>76.581744558252382</v>
      </c>
      <c r="D211" s="8">
        <v>0.35966156331395233</v>
      </c>
      <c r="E211" s="8">
        <v>12.830628870532399</v>
      </c>
      <c r="F211" s="8">
        <v>2.0507897725846624</v>
      </c>
      <c r="G211" s="8">
        <v>9.0690514784671841E-2</v>
      </c>
      <c r="H211" s="8">
        <v>0.43888813645422992</v>
      </c>
      <c r="I211" s="17">
        <v>1.8990030970917555</v>
      </c>
      <c r="J211" s="17">
        <v>3.2680075998090792</v>
      </c>
      <c r="K211" s="17">
        <v>2.2271861277308189</v>
      </c>
      <c r="L211" s="17">
        <v>4.7488991205880744E-2</v>
      </c>
      <c r="M211" s="17">
        <v>0.26601019644599877</v>
      </c>
      <c r="N211" s="17">
        <v>100</v>
      </c>
      <c r="O211" s="17">
        <v>1.1911169952711353</v>
      </c>
    </row>
    <row r="212" spans="2:16" x14ac:dyDescent="0.2">
      <c r="B212" s="23" t="s">
        <v>187</v>
      </c>
      <c r="C212" s="8">
        <v>76.632823130950015</v>
      </c>
      <c r="D212" s="8">
        <v>0.50395419918282403</v>
      </c>
      <c r="E212" s="8">
        <v>13.011539956559185</v>
      </c>
      <c r="F212" s="8">
        <v>1.6228471427210174</v>
      </c>
      <c r="G212" s="8">
        <v>4.9805731035680256E-2</v>
      </c>
      <c r="H212" s="8">
        <v>0.1412110903960159</v>
      </c>
      <c r="I212" s="17">
        <v>2.1021420902621673</v>
      </c>
      <c r="J212" s="17">
        <v>3.3581251600558519</v>
      </c>
      <c r="K212" s="17">
        <v>2.2222396368612132</v>
      </c>
      <c r="L212" s="17">
        <v>0.16010037808832636</v>
      </c>
      <c r="M212" s="17">
        <v>0.25198682367470443</v>
      </c>
      <c r="N212" s="17">
        <v>100</v>
      </c>
      <c r="O212" s="17">
        <v>2.3587714983769508</v>
      </c>
    </row>
    <row r="213" spans="2:16" x14ac:dyDescent="0.2">
      <c r="B213" s="23" t="s">
        <v>188</v>
      </c>
      <c r="C213" s="8">
        <v>76.797785057445637</v>
      </c>
      <c r="D213" s="8">
        <v>0.39917497253688261</v>
      </c>
      <c r="E213" s="8">
        <v>12.636765987406577</v>
      </c>
      <c r="F213" s="8">
        <v>1.9015215047916527</v>
      </c>
      <c r="G213" s="8">
        <v>4.0019396854375458E-2</v>
      </c>
      <c r="H213" s="8">
        <v>0.39945656387874184</v>
      </c>
      <c r="I213" s="17">
        <v>1.6603050941788564</v>
      </c>
      <c r="J213" s="17">
        <v>3.6110949546109161</v>
      </c>
      <c r="K213" s="17">
        <v>2.3502950443986044</v>
      </c>
      <c r="L213" s="17">
        <v>5.9436031502215769E-2</v>
      </c>
      <c r="M213" s="17">
        <v>0.18609642482159561</v>
      </c>
      <c r="N213" s="17">
        <v>100</v>
      </c>
      <c r="O213" s="17">
        <v>1.291849589651606</v>
      </c>
    </row>
    <row r="214" spans="2:16" x14ac:dyDescent="0.2">
      <c r="B214" s="23" t="s">
        <v>189</v>
      </c>
      <c r="C214" s="8">
        <v>77.043688750711212</v>
      </c>
      <c r="D214" s="8">
        <v>0.37765220265982857</v>
      </c>
      <c r="E214" s="8">
        <v>12.532497373615847</v>
      </c>
      <c r="F214" s="8">
        <v>1.787421922305795</v>
      </c>
      <c r="G214" s="8">
        <v>4.3009783135632897E-2</v>
      </c>
      <c r="H214" s="8">
        <v>0.39955796348349892</v>
      </c>
      <c r="I214" s="17">
        <v>1.7581832366077035</v>
      </c>
      <c r="J214" s="17">
        <v>3.7013122814710031</v>
      </c>
      <c r="K214" s="17">
        <v>2.1949841276520807</v>
      </c>
      <c r="L214" s="17">
        <v>0</v>
      </c>
      <c r="M214" s="17">
        <v>0.2088452996531476</v>
      </c>
      <c r="N214" s="17">
        <v>100</v>
      </c>
      <c r="O214" s="17">
        <v>1.1019560791539782</v>
      </c>
    </row>
    <row r="215" spans="2:16" x14ac:dyDescent="0.2">
      <c r="B215" s="23" t="s">
        <v>190</v>
      </c>
      <c r="C215" s="8">
        <v>77.047638915346624</v>
      </c>
      <c r="D215" s="8">
        <v>0.363498756823745</v>
      </c>
      <c r="E215" s="8">
        <v>12.604641035035785</v>
      </c>
      <c r="F215" s="8">
        <v>1.9019838026750249</v>
      </c>
      <c r="G215" s="8">
        <v>5.8549726939050736E-2</v>
      </c>
      <c r="H215" s="8">
        <v>0.39038729195738059</v>
      </c>
      <c r="I215" s="17">
        <v>1.816449195004417</v>
      </c>
      <c r="J215" s="17">
        <v>3.4334427190273487</v>
      </c>
      <c r="K215" s="17">
        <v>2.1822683594917893</v>
      </c>
      <c r="L215" s="17">
        <v>6.347146574656154E-2</v>
      </c>
      <c r="M215" s="17">
        <v>0.17778906725520038</v>
      </c>
      <c r="N215" s="17">
        <v>100</v>
      </c>
      <c r="O215" s="17">
        <v>1.4164188648422706</v>
      </c>
    </row>
    <row r="216" spans="2:16" x14ac:dyDescent="0.2">
      <c r="B216" s="23" t="s">
        <v>191</v>
      </c>
      <c r="C216" s="8">
        <v>77.075329682263387</v>
      </c>
      <c r="D216" s="8">
        <v>0.42782333955463181</v>
      </c>
      <c r="E216" s="8">
        <v>12.556726920363893</v>
      </c>
      <c r="F216" s="8">
        <v>1.9022429713077758</v>
      </c>
      <c r="G216" s="8">
        <v>2.6353825625887447E-2</v>
      </c>
      <c r="H216" s="8">
        <v>0.37677311676413716</v>
      </c>
      <c r="I216" s="8">
        <v>1.7799681475785418</v>
      </c>
      <c r="J216" s="8">
        <v>3.415851057564292</v>
      </c>
      <c r="K216" s="8">
        <v>2.2748740449719951</v>
      </c>
      <c r="L216" s="8">
        <v>0</v>
      </c>
      <c r="M216" s="8">
        <v>0.21185847551566239</v>
      </c>
      <c r="N216" s="8">
        <v>100</v>
      </c>
      <c r="O216" s="8">
        <v>1.870218886306334</v>
      </c>
    </row>
    <row r="217" spans="2:16" x14ac:dyDescent="0.2">
      <c r="B217" s="23" t="s">
        <v>192</v>
      </c>
      <c r="C217" s="8">
        <v>77.456946326633641</v>
      </c>
      <c r="D217" s="8">
        <v>0.43652839161663315</v>
      </c>
      <c r="E217" s="8">
        <v>12.617196188875338</v>
      </c>
      <c r="F217" s="8">
        <v>1.8093503155305053</v>
      </c>
      <c r="G217" s="8">
        <v>6.6812253351073631E-2</v>
      </c>
      <c r="H217" s="8">
        <v>0.38142801022713779</v>
      </c>
      <c r="I217" s="8">
        <v>1.7762222154890712</v>
      </c>
      <c r="J217" s="8">
        <v>3.1778750924967012</v>
      </c>
      <c r="K217" s="8">
        <v>2.1495036364743014</v>
      </c>
      <c r="L217" s="8">
        <v>3.2033370169654497E-2</v>
      </c>
      <c r="M217" s="8">
        <v>0.12408165134926764</v>
      </c>
      <c r="N217" s="8">
        <v>100</v>
      </c>
      <c r="O217" s="8">
        <v>2.2156743024809162</v>
      </c>
    </row>
    <row r="218" spans="2:16" x14ac:dyDescent="0.2">
      <c r="B218" s="23" t="s">
        <v>193</v>
      </c>
      <c r="C218" s="8">
        <v>77.476799811645165</v>
      </c>
      <c r="D218" s="8">
        <v>0.43072129688795724</v>
      </c>
      <c r="E218" s="8">
        <v>12.227862856028288</v>
      </c>
      <c r="F218" s="8">
        <v>1.9512649177099606</v>
      </c>
      <c r="G218" s="8">
        <v>9.3186637960266661E-3</v>
      </c>
      <c r="H218" s="8">
        <v>0.38740430986677737</v>
      </c>
      <c r="I218" s="8">
        <v>1.7081835409671664</v>
      </c>
      <c r="J218" s="8">
        <v>3.4211948234190208</v>
      </c>
      <c r="K218" s="8">
        <v>2.1392406363643124</v>
      </c>
      <c r="L218" s="8">
        <v>0</v>
      </c>
      <c r="M218" s="8">
        <v>0.32031605452035544</v>
      </c>
      <c r="N218" s="8">
        <v>100</v>
      </c>
      <c r="O218" s="8">
        <v>2.0664161667761927</v>
      </c>
    </row>
    <row r="219" spans="2:16" x14ac:dyDescent="0.2">
      <c r="B219" s="23" t="s">
        <v>194</v>
      </c>
      <c r="C219" s="8">
        <v>77.880635969507466</v>
      </c>
      <c r="D219" s="8">
        <v>0.41578306621593275</v>
      </c>
      <c r="E219" s="8">
        <v>12.03970033744311</v>
      </c>
      <c r="F219" s="8">
        <v>1.6421390877479229</v>
      </c>
      <c r="G219" s="8">
        <v>2.3292080004984519E-2</v>
      </c>
      <c r="H219" s="8">
        <v>0.27680300939379604</v>
      </c>
      <c r="I219" s="8">
        <v>1.7696960563124788</v>
      </c>
      <c r="J219" s="8">
        <v>3.5807172644277294</v>
      </c>
      <c r="K219" s="8">
        <v>2.0338198969087133</v>
      </c>
      <c r="L219" s="8">
        <v>0.135896486235767</v>
      </c>
      <c r="M219" s="8">
        <v>0.26021886884440215</v>
      </c>
      <c r="N219" s="8">
        <v>100</v>
      </c>
      <c r="O219" s="8">
        <v>2.0374118586959327</v>
      </c>
    </row>
    <row r="220" spans="2:16" x14ac:dyDescent="0.2">
      <c r="B220" s="23" t="s">
        <v>195</v>
      </c>
      <c r="C220" s="8">
        <v>79.151925649170082</v>
      </c>
      <c r="D220" s="8">
        <v>0.43948406711984689</v>
      </c>
      <c r="E220" s="8">
        <v>11.347383676263004</v>
      </c>
      <c r="F220" s="8">
        <v>1.7056397278930471</v>
      </c>
      <c r="G220" s="8">
        <v>6.9512216153121101E-2</v>
      </c>
      <c r="H220" s="8">
        <v>0.27835888297747635</v>
      </c>
      <c r="I220" s="8">
        <v>1.1252243614088437</v>
      </c>
      <c r="J220" s="8">
        <v>3.0878540670753503</v>
      </c>
      <c r="K220" s="8">
        <v>2.6128449446883977</v>
      </c>
      <c r="L220" s="8">
        <v>1.9920458744627889E-2</v>
      </c>
      <c r="M220" s="8">
        <v>0.20895034509723776</v>
      </c>
      <c r="N220" s="8">
        <v>100</v>
      </c>
      <c r="O220" s="8">
        <v>1.6453655711189272</v>
      </c>
    </row>
    <row r="221" spans="2:16" x14ac:dyDescent="0.2">
      <c r="B221" s="24" t="s">
        <v>20</v>
      </c>
      <c r="C221" s="18">
        <f t="shared" ref="C221:O221" si="40">AVERAGE(C201:C220)</f>
        <v>76.537557019405568</v>
      </c>
      <c r="D221" s="18">
        <f t="shared" si="40"/>
        <v>0.39743080128251151</v>
      </c>
      <c r="E221" s="18">
        <f t="shared" si="40"/>
        <v>12.751264424287488</v>
      </c>
      <c r="F221" s="18">
        <f t="shared" si="40"/>
        <v>1.8292057218239406</v>
      </c>
      <c r="G221" s="18">
        <f t="shared" si="40"/>
        <v>5.690475734697964E-2</v>
      </c>
      <c r="H221" s="18">
        <f t="shared" si="40"/>
        <v>0.36621466531755331</v>
      </c>
      <c r="I221" s="18">
        <f t="shared" si="40"/>
        <v>1.9144142426030553</v>
      </c>
      <c r="J221" s="18">
        <f t="shared" si="40"/>
        <v>3.6271621563826963</v>
      </c>
      <c r="K221" s="18">
        <f t="shared" si="40"/>
        <v>2.296228523420599</v>
      </c>
      <c r="L221" s="18">
        <f t="shared" si="40"/>
        <v>4.7716503265849058E-2</v>
      </c>
      <c r="M221" s="18">
        <f t="shared" si="40"/>
        <v>0.22715263449650452</v>
      </c>
      <c r="N221" s="18">
        <f t="shared" si="40"/>
        <v>100</v>
      </c>
      <c r="O221" s="18">
        <f t="shared" si="40"/>
        <v>1.5707943899752921</v>
      </c>
    </row>
    <row r="222" spans="2:16" x14ac:dyDescent="0.2">
      <c r="B222" s="24" t="s">
        <v>21</v>
      </c>
      <c r="C222" s="18">
        <f t="shared" ref="C222:O222" si="41">STDEV(C201:C220)</f>
        <v>1.088640993452608</v>
      </c>
      <c r="D222" s="18">
        <f t="shared" si="41"/>
        <v>5.9756398190643899E-2</v>
      </c>
      <c r="E222" s="18">
        <f t="shared" si="41"/>
        <v>0.57987848973495604</v>
      </c>
      <c r="F222" s="18">
        <f t="shared" si="41"/>
        <v>0.18211824666266194</v>
      </c>
      <c r="G222" s="18">
        <f t="shared" si="41"/>
        <v>2.6800460927282346E-2</v>
      </c>
      <c r="H222" s="18">
        <f t="shared" si="41"/>
        <v>9.1393490748189296E-2</v>
      </c>
      <c r="I222" s="18">
        <f t="shared" si="41"/>
        <v>0.26030874423900369</v>
      </c>
      <c r="J222" s="18">
        <f t="shared" si="41"/>
        <v>0.40648071917472328</v>
      </c>
      <c r="K222" s="18">
        <f t="shared" si="41"/>
        <v>0.24855464000203017</v>
      </c>
      <c r="L222" s="18">
        <f t="shared" si="41"/>
        <v>5.82974776225125E-2</v>
      </c>
      <c r="M222" s="18">
        <f t="shared" si="41"/>
        <v>5.5053650427069049E-2</v>
      </c>
      <c r="N222" s="18">
        <f t="shared" si="41"/>
        <v>0</v>
      </c>
      <c r="O222" s="18">
        <f t="shared" si="41"/>
        <v>0.58153113915588184</v>
      </c>
    </row>
    <row r="223" spans="2:16" x14ac:dyDescent="0.2">
      <c r="B223" s="23" t="s">
        <v>175</v>
      </c>
      <c r="C223" s="8">
        <v>71.500865677589772</v>
      </c>
      <c r="D223" s="8">
        <v>0.30578669992487151</v>
      </c>
      <c r="E223" s="8">
        <v>15.959983498802909</v>
      </c>
      <c r="F223" s="8">
        <v>1.1887863825747005</v>
      </c>
      <c r="G223" s="8">
        <v>2.4344465598311951E-2</v>
      </c>
      <c r="H223" s="8">
        <v>9.4511158984322052E-2</v>
      </c>
      <c r="I223" s="8">
        <v>3.0441688597484728</v>
      </c>
      <c r="J223" s="8">
        <v>5.3754541206406641</v>
      </c>
      <c r="K223" s="8">
        <v>2.3661559812416026</v>
      </c>
      <c r="L223" s="8">
        <v>3.116551870080651E-2</v>
      </c>
      <c r="M223" s="8">
        <v>0.14014327380598321</v>
      </c>
      <c r="N223" s="8">
        <v>100</v>
      </c>
      <c r="O223" s="8">
        <v>5.9455808927052337E-2</v>
      </c>
      <c r="P223" s="1" t="s">
        <v>579</v>
      </c>
    </row>
    <row r="224" spans="2:16" x14ac:dyDescent="0.2">
      <c r="B224" s="2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6" x14ac:dyDescent="0.2">
      <c r="A225" s="1" t="s">
        <v>76</v>
      </c>
      <c r="B225" s="23" t="s">
        <v>196</v>
      </c>
      <c r="C225" s="8">
        <v>75.064629925485917</v>
      </c>
      <c r="D225" s="8">
        <v>0.4503034061412497</v>
      </c>
      <c r="E225" s="8">
        <v>13.111334192347829</v>
      </c>
      <c r="F225" s="8">
        <v>2.2867029146228006</v>
      </c>
      <c r="G225" s="8">
        <v>8.4720402272481357E-2</v>
      </c>
      <c r="H225" s="8">
        <v>0.51912361464617651</v>
      </c>
      <c r="I225" s="8">
        <v>2.2333750209491883</v>
      </c>
      <c r="J225" s="8">
        <v>3.8107329448700016</v>
      </c>
      <c r="K225" s="8">
        <v>2.1666873209272812</v>
      </c>
      <c r="L225" s="8">
        <v>1.1848731281779771E-2</v>
      </c>
      <c r="M225" s="8">
        <v>0.33643332336594617</v>
      </c>
      <c r="N225" s="8">
        <v>100</v>
      </c>
      <c r="O225" s="8">
        <v>1.2106541537522078</v>
      </c>
      <c r="P225" s="1" t="s">
        <v>82</v>
      </c>
    </row>
    <row r="226" spans="1:16" x14ac:dyDescent="0.2">
      <c r="B226" s="23" t="s">
        <v>197</v>
      </c>
      <c r="C226" s="8">
        <v>75.358006497776046</v>
      </c>
      <c r="D226" s="8">
        <v>0.33841933246459954</v>
      </c>
      <c r="E226" s="8">
        <v>13.142727625590252</v>
      </c>
      <c r="F226" s="8">
        <v>2.34156051480843</v>
      </c>
      <c r="G226" s="8">
        <v>9.5653223902420745E-2</v>
      </c>
      <c r="H226" s="8">
        <v>0.54541746993786255</v>
      </c>
      <c r="I226" s="8">
        <v>2.3930080130366354</v>
      </c>
      <c r="J226" s="8">
        <v>3.4057007303276841</v>
      </c>
      <c r="K226" s="8">
        <v>2.1731398926535661</v>
      </c>
      <c r="L226" s="8">
        <v>0</v>
      </c>
      <c r="M226" s="8">
        <v>0.26650533833958279</v>
      </c>
      <c r="N226" s="8">
        <v>100</v>
      </c>
      <c r="O226" s="8">
        <v>1.3544094330286103</v>
      </c>
    </row>
    <row r="227" spans="1:16" x14ac:dyDescent="0.2">
      <c r="B227" s="23" t="s">
        <v>198</v>
      </c>
      <c r="C227" s="8">
        <v>75.436029945724755</v>
      </c>
      <c r="D227" s="8">
        <v>0.41840092004913265</v>
      </c>
      <c r="E227" s="8">
        <v>13.778977888379268</v>
      </c>
      <c r="F227" s="8">
        <v>1.8362833917771544</v>
      </c>
      <c r="G227" s="8">
        <v>6.2086763789385664E-2</v>
      </c>
      <c r="H227" s="8">
        <v>0.3874461869506336</v>
      </c>
      <c r="I227" s="8">
        <v>2.7036863887408247</v>
      </c>
      <c r="J227" s="8">
        <v>3.420743065263284</v>
      </c>
      <c r="K227" s="8">
        <v>1.8378220088145401</v>
      </c>
      <c r="L227" s="8">
        <v>0</v>
      </c>
      <c r="M227" s="8">
        <v>0.15306182666944407</v>
      </c>
      <c r="N227" s="8">
        <v>100</v>
      </c>
      <c r="O227" s="8">
        <v>1.8951680387738197</v>
      </c>
    </row>
    <row r="228" spans="1:16" x14ac:dyDescent="0.2">
      <c r="B228" s="23" t="s">
        <v>199</v>
      </c>
      <c r="C228" s="8">
        <v>75.620356072566992</v>
      </c>
      <c r="D228" s="8">
        <v>0.43069061225382427</v>
      </c>
      <c r="E228" s="8">
        <v>12.932728094183391</v>
      </c>
      <c r="F228" s="8">
        <v>2.2844237253166919</v>
      </c>
      <c r="G228" s="8">
        <v>6.6133291619563203E-2</v>
      </c>
      <c r="H228" s="8">
        <v>0.50013188154473887</v>
      </c>
      <c r="I228" s="8">
        <v>2.2389503956176853</v>
      </c>
      <c r="J228" s="8">
        <v>3.6192305933139539</v>
      </c>
      <c r="K228" s="8">
        <v>2.1457815832801397</v>
      </c>
      <c r="L228" s="8">
        <v>0</v>
      </c>
      <c r="M228" s="8">
        <v>0.20864197977090468</v>
      </c>
      <c r="N228" s="8">
        <v>100</v>
      </c>
      <c r="O228" s="8">
        <v>1.0069517969929911</v>
      </c>
    </row>
    <row r="229" spans="1:16" x14ac:dyDescent="0.2">
      <c r="B229" s="23" t="s">
        <v>200</v>
      </c>
      <c r="C229" s="8">
        <v>75.676456123609796</v>
      </c>
      <c r="D229" s="8">
        <v>0.42711242386645226</v>
      </c>
      <c r="E229" s="8">
        <v>12.806850481982805</v>
      </c>
      <c r="F229" s="8">
        <v>2.3066661409902554</v>
      </c>
      <c r="G229" s="8">
        <v>8.3828569181551696E-2</v>
      </c>
      <c r="H229" s="8">
        <v>0.53376268792229098</v>
      </c>
      <c r="I229" s="8">
        <v>2.0822665874273953</v>
      </c>
      <c r="J229" s="8">
        <v>3.4785145988023278</v>
      </c>
      <c r="K229" s="8">
        <v>2.2057399283166346</v>
      </c>
      <c r="L229" s="8">
        <v>0.16735705435697432</v>
      </c>
      <c r="M229" s="8">
        <v>0.298915311615426</v>
      </c>
      <c r="N229" s="8">
        <v>100</v>
      </c>
      <c r="O229" s="8">
        <v>2.0693898398272332</v>
      </c>
    </row>
    <row r="230" spans="1:16" x14ac:dyDescent="0.2">
      <c r="B230" s="23" t="s">
        <v>201</v>
      </c>
      <c r="C230" s="8">
        <v>75.77630843058526</v>
      </c>
      <c r="D230" s="8">
        <v>0.3382205955687449</v>
      </c>
      <c r="E230" s="8">
        <v>12.996247005848833</v>
      </c>
      <c r="F230" s="8">
        <v>2.343747747637476</v>
      </c>
      <c r="G230" s="8">
        <v>6.8631624502270852E-2</v>
      </c>
      <c r="H230" s="8">
        <v>0.53255837800366546</v>
      </c>
      <c r="I230" s="8">
        <v>2.2424362508275029</v>
      </c>
      <c r="J230" s="8">
        <v>3.2863441774116415</v>
      </c>
      <c r="K230" s="8">
        <v>2.0865763495167102</v>
      </c>
      <c r="L230" s="8">
        <v>8.008013095675276E-2</v>
      </c>
      <c r="M230" s="8">
        <v>0.32125885882274346</v>
      </c>
      <c r="N230" s="8">
        <v>100</v>
      </c>
      <c r="O230" s="8">
        <v>2.4383183113986338</v>
      </c>
    </row>
    <row r="231" spans="1:16" x14ac:dyDescent="0.2">
      <c r="B231" s="23" t="s">
        <v>202</v>
      </c>
      <c r="C231" s="8">
        <v>75.795775623898393</v>
      </c>
      <c r="D231" s="8">
        <v>0.38241859472071421</v>
      </c>
      <c r="E231" s="8">
        <v>12.980608322558599</v>
      </c>
      <c r="F231" s="8">
        <v>2.1276038756885227</v>
      </c>
      <c r="G231" s="8">
        <v>6.3028242380128288E-2</v>
      </c>
      <c r="H231" s="8">
        <v>0.49424824539016193</v>
      </c>
      <c r="I231" s="8">
        <v>2.1728862433469502</v>
      </c>
      <c r="J231" s="8">
        <v>3.6411857222150545</v>
      </c>
      <c r="K231" s="8">
        <v>2.1714705373460168</v>
      </c>
      <c r="L231" s="8">
        <v>1.5797256533272862E-2</v>
      </c>
      <c r="M231" s="8">
        <v>0.20020509777771692</v>
      </c>
      <c r="N231" s="8">
        <v>100</v>
      </c>
      <c r="O231" s="8">
        <v>1.1218572095305359</v>
      </c>
    </row>
    <row r="232" spans="1:16" x14ac:dyDescent="0.2">
      <c r="B232" s="23" t="s">
        <v>203</v>
      </c>
      <c r="C232" s="8">
        <v>76.049634000359504</v>
      </c>
      <c r="D232" s="8">
        <v>0.39307018069201377</v>
      </c>
      <c r="E232" s="8">
        <v>12.916704457938094</v>
      </c>
      <c r="F232" s="8">
        <v>2.1253565710178188</v>
      </c>
      <c r="G232" s="8">
        <v>6.8184655926437049E-2</v>
      </c>
      <c r="H232" s="8">
        <v>0.48454682022848439</v>
      </c>
      <c r="I232" s="8">
        <v>2.1211894648997558</v>
      </c>
      <c r="J232" s="8">
        <v>3.4440266041291516</v>
      </c>
      <c r="K232" s="8">
        <v>2.2000180713434068</v>
      </c>
      <c r="L232" s="8">
        <v>4.3793330629022069E-2</v>
      </c>
      <c r="M232" s="8">
        <v>0.19816066927299211</v>
      </c>
      <c r="N232" s="8">
        <v>100</v>
      </c>
      <c r="O232" s="8">
        <v>1.8852351604636064</v>
      </c>
    </row>
    <row r="233" spans="1:16" x14ac:dyDescent="0.2">
      <c r="B233" s="23" t="s">
        <v>204</v>
      </c>
      <c r="C233" s="8">
        <v>76.214246059089206</v>
      </c>
      <c r="D233" s="8">
        <v>0.41216847541559976</v>
      </c>
      <c r="E233" s="8">
        <v>12.9432020330326</v>
      </c>
      <c r="F233" s="8">
        <v>2.1164733099449426</v>
      </c>
      <c r="G233" s="8">
        <v>8.0734945695364033E-2</v>
      </c>
      <c r="H233" s="8">
        <v>0.42164097605276235</v>
      </c>
      <c r="I233" s="8">
        <v>2.1547568530431507</v>
      </c>
      <c r="J233" s="8">
        <v>3.3004288384044997</v>
      </c>
      <c r="K233" s="8">
        <v>2.1172685473248789</v>
      </c>
      <c r="L233" s="8">
        <v>0</v>
      </c>
      <c r="M233" s="8">
        <v>0.30875193229531323</v>
      </c>
      <c r="N233" s="8">
        <v>100</v>
      </c>
      <c r="O233" s="8">
        <v>1.9535102482245275</v>
      </c>
    </row>
    <row r="234" spans="1:16" x14ac:dyDescent="0.2">
      <c r="B234" s="23" t="s">
        <v>205</v>
      </c>
      <c r="C234" s="8">
        <v>76.256418861896066</v>
      </c>
      <c r="D234" s="8">
        <v>0.41750784597180907</v>
      </c>
      <c r="E234" s="8">
        <v>12.998403858346913</v>
      </c>
      <c r="F234" s="8">
        <v>1.7865814224512204</v>
      </c>
      <c r="G234" s="8">
        <v>6.6222348360747821E-2</v>
      </c>
      <c r="H234" s="8">
        <v>0.51274027161621993</v>
      </c>
      <c r="I234" s="8">
        <v>1.2825459944823472</v>
      </c>
      <c r="J234" s="8">
        <v>3.7179300483044608</v>
      </c>
      <c r="K234" s="8">
        <v>2.5846215034099438</v>
      </c>
      <c r="L234" s="8">
        <v>0.18200880414864934</v>
      </c>
      <c r="M234" s="8">
        <v>0.25174262191146374</v>
      </c>
      <c r="N234" s="8">
        <v>100</v>
      </c>
      <c r="O234" s="8">
        <v>1.136791534176091</v>
      </c>
      <c r="P234" s="25"/>
    </row>
    <row r="235" spans="1:16" x14ac:dyDescent="0.2">
      <c r="B235" s="23" t="s">
        <v>206</v>
      </c>
      <c r="C235" s="8">
        <v>76.278983208204266</v>
      </c>
      <c r="D235" s="8">
        <v>0.37632729126041647</v>
      </c>
      <c r="E235" s="8">
        <v>12.87694593127268</v>
      </c>
      <c r="F235" s="8">
        <v>2.0928002850922574</v>
      </c>
      <c r="G235" s="8">
        <v>2.633349138682441E-2</v>
      </c>
      <c r="H235" s="8">
        <v>0.44404125606194922</v>
      </c>
      <c r="I235" s="8">
        <v>2.0058399910419578</v>
      </c>
      <c r="J235" s="8">
        <v>3.3856269611470839</v>
      </c>
      <c r="K235" s="8">
        <v>2.2060014079209673</v>
      </c>
      <c r="L235" s="8">
        <v>0.14327064839434647</v>
      </c>
      <c r="M235" s="8">
        <v>0.2115823379336722</v>
      </c>
      <c r="N235" s="8">
        <v>100</v>
      </c>
      <c r="O235" s="8">
        <v>1.8270422134658744</v>
      </c>
    </row>
    <row r="236" spans="1:16" x14ac:dyDescent="0.2">
      <c r="B236" s="23" t="s">
        <v>207</v>
      </c>
      <c r="C236" s="8">
        <v>76.291617265601161</v>
      </c>
      <c r="D236" s="8">
        <v>0.41708194738326476</v>
      </c>
      <c r="E236" s="8">
        <v>12.67241543623566</v>
      </c>
      <c r="F236" s="8">
        <v>1.9402394757480437</v>
      </c>
      <c r="G236" s="8">
        <v>7.8927027468866609E-2</v>
      </c>
      <c r="H236" s="8">
        <v>0.43826596561959896</v>
      </c>
      <c r="I236" s="8">
        <v>2.0416895074514936</v>
      </c>
      <c r="J236" s="8">
        <v>3.2312231307366166</v>
      </c>
      <c r="K236" s="8">
        <v>2.6887407761501136</v>
      </c>
      <c r="L236" s="8">
        <v>6.7452181603750785E-2</v>
      </c>
      <c r="M236" s="8">
        <v>0.17080605227587944</v>
      </c>
      <c r="N236" s="8">
        <v>100</v>
      </c>
      <c r="O236" s="8">
        <v>1.5922608686659896</v>
      </c>
    </row>
    <row r="237" spans="1:16" x14ac:dyDescent="0.2">
      <c r="B237" s="23" t="s">
        <v>208</v>
      </c>
      <c r="C237" s="8">
        <v>76.321476756548194</v>
      </c>
      <c r="D237" s="8">
        <v>0.36402816209500732</v>
      </c>
      <c r="E237" s="8">
        <v>12.99426777107729</v>
      </c>
      <c r="F237" s="8">
        <v>1.9402708832328222</v>
      </c>
      <c r="G237" s="8">
        <v>4.0596705110097303E-2</v>
      </c>
      <c r="H237" s="8">
        <v>0.4461936046553725</v>
      </c>
      <c r="I237" s="8">
        <v>2.0250878823666905</v>
      </c>
      <c r="J237" s="8">
        <v>3.5255859062122288</v>
      </c>
      <c r="K237" s="8">
        <v>2.1024710898695074</v>
      </c>
      <c r="L237" s="8">
        <v>6.8201193150256925E-2</v>
      </c>
      <c r="M237" s="8">
        <v>0.22190842101728786</v>
      </c>
      <c r="N237" s="8">
        <v>100</v>
      </c>
      <c r="O237" s="8">
        <v>2.535056980014907</v>
      </c>
    </row>
    <row r="238" spans="1:16" x14ac:dyDescent="0.2">
      <c r="B238" s="23" t="s">
        <v>209</v>
      </c>
      <c r="C238" s="8">
        <v>76.330432173537517</v>
      </c>
      <c r="D238" s="8">
        <v>0.38442728399422404</v>
      </c>
      <c r="E238" s="8">
        <v>12.838355057854708</v>
      </c>
      <c r="F238" s="8">
        <v>2.0648085153745153</v>
      </c>
      <c r="G238" s="8">
        <v>6.177682427614338E-2</v>
      </c>
      <c r="H238" s="8">
        <v>0.43441788752854027</v>
      </c>
      <c r="I238" s="8">
        <v>2.0085443222288908</v>
      </c>
      <c r="J238" s="8">
        <v>3.4672072450692371</v>
      </c>
      <c r="K238" s="8">
        <v>2.0699289836564567</v>
      </c>
      <c r="L238" s="8">
        <v>0.11907730266930336</v>
      </c>
      <c r="M238" s="8">
        <v>0.28540006893288189</v>
      </c>
      <c r="N238" s="8">
        <v>100</v>
      </c>
      <c r="O238" s="8">
        <v>1.5965928956737423</v>
      </c>
    </row>
    <row r="239" spans="1:16" x14ac:dyDescent="0.2">
      <c r="B239" s="23" t="s">
        <v>210</v>
      </c>
      <c r="C239" s="8">
        <v>76.351692638606664</v>
      </c>
      <c r="D239" s="8">
        <v>0.39049645699019592</v>
      </c>
      <c r="E239" s="8">
        <v>12.924880585099489</v>
      </c>
      <c r="F239" s="8">
        <v>2.0003565400224912</v>
      </c>
      <c r="G239" s="8">
        <v>7.2720104541728239E-2</v>
      </c>
      <c r="H239" s="8">
        <v>0.46423550854172208</v>
      </c>
      <c r="I239" s="8">
        <v>2.065506162892222</v>
      </c>
      <c r="J239" s="8">
        <v>3.4199539204326528</v>
      </c>
      <c r="K239" s="8">
        <v>2.1447056732450074</v>
      </c>
      <c r="L239" s="8">
        <v>0</v>
      </c>
      <c r="M239" s="8">
        <v>0.21368019765987187</v>
      </c>
      <c r="N239" s="8">
        <v>100</v>
      </c>
      <c r="O239" s="8">
        <v>1.5899311862314969</v>
      </c>
    </row>
    <row r="240" spans="1:16" x14ac:dyDescent="0.2">
      <c r="B240" s="23" t="s">
        <v>211</v>
      </c>
      <c r="C240" s="8">
        <v>76.43474595090855</v>
      </c>
      <c r="D240" s="8">
        <v>0.3814565837485554</v>
      </c>
      <c r="E240" s="8">
        <v>12.891416978938103</v>
      </c>
      <c r="F240" s="8">
        <v>2.0358615551482404</v>
      </c>
      <c r="G240" s="8">
        <v>6.0576524025979121E-2</v>
      </c>
      <c r="H240" s="8">
        <v>0.46916847782284044</v>
      </c>
      <c r="I240" s="8">
        <v>2.093820102893015</v>
      </c>
      <c r="J240" s="8">
        <v>3.2347763883758494</v>
      </c>
      <c r="K240" s="8">
        <v>2.1694018022307819</v>
      </c>
      <c r="L240" s="8">
        <v>0</v>
      </c>
      <c r="M240" s="8">
        <v>0.29540297928597198</v>
      </c>
      <c r="N240" s="8">
        <v>100</v>
      </c>
      <c r="O240" s="8">
        <v>1.9858309779603642</v>
      </c>
    </row>
    <row r="241" spans="1:15" x14ac:dyDescent="0.2">
      <c r="B241" s="23" t="s">
        <v>212</v>
      </c>
      <c r="C241" s="8">
        <v>76.436564134137541</v>
      </c>
      <c r="D241" s="8">
        <v>0.41609399540175862</v>
      </c>
      <c r="E241" s="8">
        <v>13.003342605823246</v>
      </c>
      <c r="F241" s="8">
        <v>2.002064326457198</v>
      </c>
      <c r="G241" s="8">
        <v>5.8636565925502496E-2</v>
      </c>
      <c r="H241" s="8">
        <v>0.39097055151523002</v>
      </c>
      <c r="I241" s="8">
        <v>2.1174388643150039</v>
      </c>
      <c r="J241" s="8">
        <v>3.1771258296974287</v>
      </c>
      <c r="K241" s="8">
        <v>2.0698524396295359</v>
      </c>
      <c r="L241" s="8">
        <v>9.112238043560561E-2</v>
      </c>
      <c r="M241" s="8">
        <v>0.30570503974274327</v>
      </c>
      <c r="N241" s="8">
        <v>100</v>
      </c>
      <c r="O241" s="8">
        <v>1.3123795730644352</v>
      </c>
    </row>
    <row r="242" spans="1:15" x14ac:dyDescent="0.2">
      <c r="B242" s="23" t="s">
        <v>213</v>
      </c>
      <c r="C242" s="8">
        <v>76.580415711505992</v>
      </c>
      <c r="D242" s="8">
        <v>0.56809289936348406</v>
      </c>
      <c r="E242" s="8">
        <v>12.789290124016464</v>
      </c>
      <c r="F242" s="8">
        <v>1.8836685516480722</v>
      </c>
      <c r="G242" s="8">
        <v>7.4699033061830872E-2</v>
      </c>
      <c r="H242" s="8">
        <v>0.3488321636249499</v>
      </c>
      <c r="I242" s="8">
        <v>2.0328765958872523</v>
      </c>
      <c r="J242" s="8">
        <v>3.2827506491778942</v>
      </c>
      <c r="K242" s="8">
        <v>2.1532135731616999</v>
      </c>
      <c r="L242" s="8">
        <v>0.11983740361040814</v>
      </c>
      <c r="M242" s="8">
        <v>0.21492394595561512</v>
      </c>
      <c r="N242" s="8">
        <v>100</v>
      </c>
      <c r="O242" s="8">
        <v>2.1623034845467073</v>
      </c>
    </row>
    <row r="243" spans="1:15" x14ac:dyDescent="0.2">
      <c r="B243" s="23" t="s">
        <v>214</v>
      </c>
      <c r="C243" s="8">
        <v>76.664011532126423</v>
      </c>
      <c r="D243" s="8">
        <v>0.4251252683001156</v>
      </c>
      <c r="E243" s="8">
        <v>12.661105447874343</v>
      </c>
      <c r="F243" s="8">
        <v>1.9502988003075674</v>
      </c>
      <c r="G243" s="8">
        <v>7.8601909050947077E-2</v>
      </c>
      <c r="H243" s="8">
        <v>0.47343394594650334</v>
      </c>
      <c r="I243" s="8">
        <v>1.8553389915487537</v>
      </c>
      <c r="J243" s="8">
        <v>3.6194623270710844</v>
      </c>
      <c r="K243" s="8">
        <v>2.0409275350948586</v>
      </c>
      <c r="L243" s="8">
        <v>0</v>
      </c>
      <c r="M243" s="8">
        <v>0.29934804675420745</v>
      </c>
      <c r="N243" s="8">
        <v>100</v>
      </c>
      <c r="O243" s="8">
        <v>1.1933170916602274</v>
      </c>
    </row>
    <row r="244" spans="1:15" x14ac:dyDescent="0.2">
      <c r="B244" s="23" t="s">
        <v>215</v>
      </c>
      <c r="C244" s="8">
        <v>76.862693507765329</v>
      </c>
      <c r="D244" s="8">
        <v>0.33394304590245333</v>
      </c>
      <c r="E244" s="8">
        <v>12.775322825125246</v>
      </c>
      <c r="F244" s="8">
        <v>1.7488428631645105</v>
      </c>
      <c r="G244" s="8">
        <v>3.7385902951099489E-2</v>
      </c>
      <c r="H244" s="8">
        <v>0.3024228410573751</v>
      </c>
      <c r="I244" s="8">
        <v>1.8102292645703271</v>
      </c>
      <c r="J244" s="8">
        <v>3.6082221390519345</v>
      </c>
      <c r="K244" s="8">
        <v>2.2607471823647889</v>
      </c>
      <c r="L244" s="8">
        <v>6.4030974602100471E-2</v>
      </c>
      <c r="M244" s="8">
        <v>0.25336381041846512</v>
      </c>
      <c r="N244" s="8">
        <v>100</v>
      </c>
      <c r="O244" s="8">
        <v>2.2254811087703446</v>
      </c>
    </row>
    <row r="245" spans="1:15" x14ac:dyDescent="0.2">
      <c r="B245" s="23" t="s">
        <v>216</v>
      </c>
      <c r="C245" s="8">
        <v>76.863914029452303</v>
      </c>
      <c r="D245" s="8">
        <v>0.3728654293299305</v>
      </c>
      <c r="E245" s="8">
        <v>12.661448160212361</v>
      </c>
      <c r="F245" s="8">
        <v>1.7761805871174905</v>
      </c>
      <c r="G245" s="8">
        <v>2.6295737063844637E-2</v>
      </c>
      <c r="H245" s="8">
        <v>0.35251415328959201</v>
      </c>
      <c r="I245" s="8">
        <v>1.8451789767259414</v>
      </c>
      <c r="J245" s="8">
        <v>3.6267405447869985</v>
      </c>
      <c r="K245" s="8">
        <v>2.2994657546879989</v>
      </c>
      <c r="L245" s="8">
        <v>4.7675491160000638E-2</v>
      </c>
      <c r="M245" s="8">
        <v>0.16483975188991321</v>
      </c>
      <c r="N245" s="8">
        <v>100</v>
      </c>
      <c r="O245" s="8">
        <v>1.5279423314464819</v>
      </c>
    </row>
    <row r="246" spans="1:15" x14ac:dyDescent="0.2">
      <c r="B246" s="23" t="s">
        <v>217</v>
      </c>
      <c r="C246" s="8">
        <v>76.880735061511928</v>
      </c>
      <c r="D246" s="8">
        <v>0.43282431322490017</v>
      </c>
      <c r="E246" s="8">
        <v>12.382350559028106</v>
      </c>
      <c r="F246" s="8">
        <v>2.0924738573393289</v>
      </c>
      <c r="G246" s="8">
        <v>7.5938112796060955E-2</v>
      </c>
      <c r="H246" s="8">
        <v>0.33795339147057285</v>
      </c>
      <c r="I246" s="8">
        <v>1.6966866350806404</v>
      </c>
      <c r="J246" s="8">
        <v>3.5071454088253384</v>
      </c>
      <c r="K246" s="8">
        <v>2.3208741772729424</v>
      </c>
      <c r="L246" s="8">
        <v>0.13943711125556255</v>
      </c>
      <c r="M246" s="8">
        <v>0.17259041844849626</v>
      </c>
      <c r="N246" s="8">
        <v>100</v>
      </c>
      <c r="O246" s="8">
        <v>1.9098339878694932</v>
      </c>
    </row>
    <row r="247" spans="1:15" x14ac:dyDescent="0.2">
      <c r="B247" s="23" t="s">
        <v>218</v>
      </c>
      <c r="C247" s="8">
        <v>76.995820460869425</v>
      </c>
      <c r="D247" s="8">
        <v>0.39166238191570329</v>
      </c>
      <c r="E247" s="8">
        <v>12.856257397747903</v>
      </c>
      <c r="F247" s="8">
        <v>1.7352899817197578</v>
      </c>
      <c r="G247" s="8">
        <v>3.4269921495937765E-2</v>
      </c>
      <c r="H247" s="8">
        <v>0.42311474294366802</v>
      </c>
      <c r="I247" s="8">
        <v>1.793144571800787</v>
      </c>
      <c r="J247" s="8">
        <v>3.4327909038055395</v>
      </c>
      <c r="K247" s="8">
        <v>2.1058170806477547</v>
      </c>
      <c r="L247" s="8">
        <v>6.4090040597628462E-2</v>
      </c>
      <c r="M247" s="8">
        <v>0.21658295845536196</v>
      </c>
      <c r="N247" s="8">
        <v>100</v>
      </c>
      <c r="O247" s="8">
        <v>2.2707973855912353</v>
      </c>
    </row>
    <row r="248" spans="1:15" x14ac:dyDescent="0.2">
      <c r="B248" s="23" t="s">
        <v>219</v>
      </c>
      <c r="C248" s="8">
        <v>77.232645000162464</v>
      </c>
      <c r="D248" s="8">
        <v>0.36621801357272887</v>
      </c>
      <c r="E248" s="8">
        <v>12.427629486790494</v>
      </c>
      <c r="F248" s="8">
        <v>1.7900057012959825</v>
      </c>
      <c r="G248" s="8">
        <v>5.071330981264139E-2</v>
      </c>
      <c r="H248" s="8">
        <v>0.38794146708891114</v>
      </c>
      <c r="I248" s="8">
        <v>1.7996316143479754</v>
      </c>
      <c r="J248" s="8">
        <v>3.4600157603488597</v>
      </c>
      <c r="K248" s="8">
        <v>2.2994417460917087</v>
      </c>
      <c r="L248" s="8">
        <v>0.10672945735067249</v>
      </c>
      <c r="M248" s="8">
        <v>0.1019801348773806</v>
      </c>
      <c r="N248" s="8">
        <v>100</v>
      </c>
      <c r="O248" s="8">
        <v>1.0064328645661695</v>
      </c>
    </row>
    <row r="249" spans="1:15" x14ac:dyDescent="0.2">
      <c r="B249" s="23" t="s">
        <v>220</v>
      </c>
      <c r="C249" s="8">
        <v>77.261393243238643</v>
      </c>
      <c r="D249" s="8">
        <v>0.37494693531167028</v>
      </c>
      <c r="E249" s="8">
        <v>12.734970821828517</v>
      </c>
      <c r="F249" s="8">
        <v>1.9079819159164106</v>
      </c>
      <c r="G249" s="8">
        <v>6.4036739299005663E-2</v>
      </c>
      <c r="H249" s="8">
        <v>0.37550849899636557</v>
      </c>
      <c r="I249" s="8">
        <v>1.9618694439048165</v>
      </c>
      <c r="J249" s="8">
        <v>2.9519462583841203</v>
      </c>
      <c r="K249" s="8">
        <v>2.1819983018067788</v>
      </c>
      <c r="L249" s="8">
        <v>0</v>
      </c>
      <c r="M249" s="8">
        <v>0.23934111164124641</v>
      </c>
      <c r="N249" s="8">
        <v>100</v>
      </c>
      <c r="O249" s="8">
        <v>2.6624652093844814</v>
      </c>
    </row>
    <row r="250" spans="1:15" x14ac:dyDescent="0.2">
      <c r="B250" s="23" t="s">
        <v>577</v>
      </c>
      <c r="C250" s="8">
        <v>77.296306649645288</v>
      </c>
      <c r="D250" s="8">
        <v>0.40971861293386275</v>
      </c>
      <c r="E250" s="8">
        <v>13.292222434418594</v>
      </c>
      <c r="F250" s="8">
        <v>2.2524681114184726</v>
      </c>
      <c r="G250" s="8">
        <v>6.0917474365843528E-2</v>
      </c>
      <c r="H250" s="8">
        <v>0.4961089338497835</v>
      </c>
      <c r="I250" s="8">
        <v>2.2622594450692368</v>
      </c>
      <c r="J250" s="8">
        <v>1.5394744729457561</v>
      </c>
      <c r="K250" s="8">
        <v>2.1206183200584436</v>
      </c>
      <c r="L250" s="8">
        <v>0.11235734786596308</v>
      </c>
      <c r="M250" s="8">
        <v>0.2034854439442064</v>
      </c>
      <c r="N250" s="8">
        <v>100</v>
      </c>
      <c r="O250" s="8">
        <v>2.5270539347036736</v>
      </c>
    </row>
    <row r="251" spans="1:15" x14ac:dyDescent="0.2">
      <c r="B251" s="24" t="s">
        <v>20</v>
      </c>
      <c r="C251" s="18">
        <f>AVERAGE(C225:C250)</f>
        <v>76.320434956338985</v>
      </c>
      <c r="D251" s="18">
        <f t="shared" ref="D251:O251" si="42">AVERAGE(D225:D250)</f>
        <v>0.40052388491816965</v>
      </c>
      <c r="E251" s="18">
        <f>AVERAGE(E225:E250)</f>
        <v>12.899615599367378</v>
      </c>
      <c r="F251" s="18">
        <f t="shared" si="42"/>
        <v>2.0295773678945563</v>
      </c>
      <c r="G251" s="18">
        <f t="shared" si="42"/>
        <v>6.3140363471642438E-2</v>
      </c>
      <c r="H251" s="18">
        <f t="shared" si="42"/>
        <v>0.44295153547330646</v>
      </c>
      <c r="I251" s="18">
        <f t="shared" si="42"/>
        <v>2.0400093686344785</v>
      </c>
      <c r="J251" s="18">
        <f t="shared" si="42"/>
        <v>3.3690340449657961</v>
      </c>
      <c r="K251" s="18">
        <f t="shared" si="42"/>
        <v>2.1893589071854791</v>
      </c>
      <c r="L251" s="18">
        <f t="shared" si="42"/>
        <v>6.3237186177001928E-2</v>
      </c>
      <c r="M251" s="18">
        <f t="shared" si="42"/>
        <v>0.23517760304133589</v>
      </c>
      <c r="N251" s="18">
        <f t="shared" si="42"/>
        <v>100</v>
      </c>
      <c r="O251" s="18">
        <f t="shared" si="42"/>
        <v>1.7691156853763028</v>
      </c>
    </row>
    <row r="252" spans="1:15" x14ac:dyDescent="0.2">
      <c r="B252" s="24" t="s">
        <v>21</v>
      </c>
      <c r="C252" s="18">
        <f t="shared" ref="C252:O252" si="43">STDEV(C225:C250)</f>
        <v>0.60317559909132834</v>
      </c>
      <c r="D252" s="18">
        <f t="shared" si="43"/>
        <v>4.6059935089601989E-2</v>
      </c>
      <c r="E252" s="18">
        <f t="shared" si="43"/>
        <v>0.26875715295566394</v>
      </c>
      <c r="F252" s="18">
        <f t="shared" si="43"/>
        <v>0.19313016053810711</v>
      </c>
      <c r="G252" s="18">
        <f t="shared" si="43"/>
        <v>1.8021259117872286E-2</v>
      </c>
      <c r="H252" s="18">
        <f t="shared" si="43"/>
        <v>6.6961558797533363E-2</v>
      </c>
      <c r="I252" s="18">
        <f t="shared" si="43"/>
        <v>0.26267094163303856</v>
      </c>
      <c r="J252" s="18">
        <f t="shared" si="43"/>
        <v>0.41684407213558211</v>
      </c>
      <c r="K252" s="18">
        <f t="shared" si="43"/>
        <v>0.16356375315971985</v>
      </c>
      <c r="L252" s="18">
        <f t="shared" si="43"/>
        <v>5.8785582136349594E-2</v>
      </c>
      <c r="M252" s="18">
        <f t="shared" si="43"/>
        <v>5.9238247457279056E-2</v>
      </c>
      <c r="N252" s="18">
        <f t="shared" si="43"/>
        <v>0</v>
      </c>
      <c r="O252" s="18">
        <f t="shared" si="43"/>
        <v>0.50604095324794773</v>
      </c>
    </row>
    <row r="253" spans="1:15" x14ac:dyDescent="0.2">
      <c r="B253" s="2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x14ac:dyDescent="0.2">
      <c r="A254" s="1" t="s">
        <v>76</v>
      </c>
      <c r="B254" s="23" t="s">
        <v>48</v>
      </c>
      <c r="C254" s="8">
        <v>74.394000000000005</v>
      </c>
      <c r="D254" s="8">
        <v>9.1896000000000005E-2</v>
      </c>
      <c r="E254" s="8">
        <v>13.107200000000001</v>
      </c>
      <c r="F254" s="8">
        <v>1.5995600000000001</v>
      </c>
      <c r="G254" s="8">
        <v>6.2435999999999998E-2</v>
      </c>
      <c r="H254" s="8">
        <v>5.5907999999999999E-2</v>
      </c>
      <c r="I254" s="8">
        <v>0.69095600000000001</v>
      </c>
      <c r="J254" s="8">
        <v>3.9291399999999999</v>
      </c>
      <c r="K254" s="8">
        <v>5.19252</v>
      </c>
      <c r="L254" s="8">
        <v>0</v>
      </c>
      <c r="M254" s="8">
        <v>0.35780299999999998</v>
      </c>
      <c r="N254" s="8">
        <v>99.400700000000001</v>
      </c>
      <c r="O254" s="8">
        <f t="shared" ref="O254:O257" si="44">100-N254</f>
        <v>0.5992999999999995</v>
      </c>
    </row>
    <row r="255" spans="1:15" x14ac:dyDescent="0.2">
      <c r="B255" s="23" t="s">
        <v>49</v>
      </c>
      <c r="C255" s="8">
        <v>74.713300000000004</v>
      </c>
      <c r="D255" s="8">
        <v>9.4909999999999994E-2</v>
      </c>
      <c r="E255" s="8">
        <v>13.087300000000001</v>
      </c>
      <c r="F255" s="8">
        <v>1.62019</v>
      </c>
      <c r="G255" s="8">
        <v>5.3312999999999999E-2</v>
      </c>
      <c r="H255" s="8">
        <v>4.8656999999999999E-2</v>
      </c>
      <c r="I255" s="8">
        <v>0.70291599999999999</v>
      </c>
      <c r="J255" s="8">
        <v>3.8803800000000002</v>
      </c>
      <c r="K255" s="8">
        <v>5.17354</v>
      </c>
      <c r="L255" s="8">
        <v>5.0571999999999999E-2</v>
      </c>
      <c r="M255" s="8">
        <v>0.38065500000000002</v>
      </c>
      <c r="N255" s="8">
        <v>99.719800000000006</v>
      </c>
      <c r="O255" s="8">
        <f t="shared" si="44"/>
        <v>0.28019999999999357</v>
      </c>
    </row>
    <row r="256" spans="1:15" x14ac:dyDescent="0.2">
      <c r="B256" s="23" t="s">
        <v>50</v>
      </c>
      <c r="C256" s="8">
        <v>74.506799999999998</v>
      </c>
      <c r="D256" s="8">
        <v>4.9533000000000001E-2</v>
      </c>
      <c r="E256" s="8">
        <v>13.222099999999999</v>
      </c>
      <c r="F256" s="8">
        <v>1.5272300000000001</v>
      </c>
      <c r="G256" s="8">
        <v>6.5511E-2</v>
      </c>
      <c r="H256" s="8">
        <v>1.1697000000000001E-2</v>
      </c>
      <c r="I256" s="8">
        <v>0.69853299999999996</v>
      </c>
      <c r="J256" s="8">
        <v>4.0184199999999999</v>
      </c>
      <c r="K256" s="8">
        <v>5.1984300000000001</v>
      </c>
      <c r="L256" s="8">
        <v>0</v>
      </c>
      <c r="M256" s="8">
        <v>0.31966299999999997</v>
      </c>
      <c r="N256" s="8">
        <v>99.5458</v>
      </c>
      <c r="O256" s="8">
        <f t="shared" si="44"/>
        <v>0.45420000000000016</v>
      </c>
    </row>
    <row r="257" spans="1:29" x14ac:dyDescent="0.2">
      <c r="B257" s="23" t="s">
        <v>62</v>
      </c>
      <c r="C257" s="8">
        <v>74.411000000000001</v>
      </c>
      <c r="D257" s="8">
        <v>4.7216000000000001E-2</v>
      </c>
      <c r="E257" s="8">
        <v>13.072900000000001</v>
      </c>
      <c r="F257" s="8">
        <v>1.58805</v>
      </c>
      <c r="G257" s="8">
        <v>4.7230000000000001E-2</v>
      </c>
      <c r="H257" s="8">
        <v>4.3146999999999998E-2</v>
      </c>
      <c r="I257" s="8">
        <v>0.72557899999999997</v>
      </c>
      <c r="J257" s="8">
        <v>3.9810300000000001</v>
      </c>
      <c r="K257" s="8">
        <v>5.19956</v>
      </c>
      <c r="L257" s="8">
        <v>7.783E-3</v>
      </c>
      <c r="M257" s="8">
        <v>0.324436</v>
      </c>
      <c r="N257" s="8">
        <v>99.374700000000004</v>
      </c>
      <c r="O257" s="8">
        <f t="shared" si="44"/>
        <v>0.62529999999999575</v>
      </c>
    </row>
    <row r="258" spans="1:29" x14ac:dyDescent="0.2">
      <c r="B258" s="24" t="s">
        <v>20</v>
      </c>
      <c r="C258" s="18">
        <f>AVERAGE(C254:C257)</f>
        <v>74.506275000000002</v>
      </c>
      <c r="D258" s="18">
        <f>AVERAGE(D254:D257)</f>
        <v>7.088875E-2</v>
      </c>
      <c r="E258" s="18">
        <f t="shared" ref="E258:F258" si="45">AVERAGE(E254:E257)</f>
        <v>13.122375000000002</v>
      </c>
      <c r="F258" s="18">
        <f t="shared" si="45"/>
        <v>1.5837575000000002</v>
      </c>
      <c r="G258" s="18">
        <f>AVERAGE(G254:G257)</f>
        <v>5.7122499999999993E-2</v>
      </c>
      <c r="H258" s="18">
        <f t="shared" ref="H258" si="46">AVERAGE(H254:H257)</f>
        <v>3.9852249999999999E-2</v>
      </c>
      <c r="I258" s="18">
        <f>AVERAGE(I254:I257)</f>
        <v>0.70449600000000001</v>
      </c>
      <c r="J258" s="18">
        <f t="shared" ref="J258:O258" si="47">AVERAGE(J254:J257)</f>
        <v>3.9522425000000001</v>
      </c>
      <c r="K258" s="18">
        <f t="shared" si="47"/>
        <v>5.1910125000000003</v>
      </c>
      <c r="L258" s="18">
        <f t="shared" si="47"/>
        <v>1.4588749999999999E-2</v>
      </c>
      <c r="M258" s="18">
        <f t="shared" si="47"/>
        <v>0.34563925000000001</v>
      </c>
      <c r="N258" s="18">
        <f t="shared" si="47"/>
        <v>99.510249999999999</v>
      </c>
      <c r="O258" s="18">
        <f t="shared" si="47"/>
        <v>0.48974999999999724</v>
      </c>
    </row>
    <row r="259" spans="1:29" x14ac:dyDescent="0.2">
      <c r="B259" s="24" t="s">
        <v>21</v>
      </c>
      <c r="C259" s="18">
        <f>STDEV(C254:C257)</f>
        <v>0.14667722783945264</v>
      </c>
      <c r="D259" s="18">
        <f t="shared" ref="D259:F259" si="48">STDEV(D254:D257)</f>
        <v>2.6043503058984455E-2</v>
      </c>
      <c r="E259" s="18">
        <f t="shared" si="48"/>
        <v>6.7954365815105944E-2</v>
      </c>
      <c r="F259" s="18">
        <f t="shared" si="48"/>
        <v>3.9961772879423964E-2</v>
      </c>
      <c r="G259" s="18">
        <f>STDEV(G254:G257)</f>
        <v>8.3859815764167379E-3</v>
      </c>
      <c r="H259" s="18">
        <f t="shared" ref="H259" si="49">STDEV(H254:H257)</f>
        <v>1.9484046557376112E-2</v>
      </c>
      <c r="I259" s="18">
        <f>STDEV(I254:I257)</f>
        <v>1.4898302565505004E-2</v>
      </c>
      <c r="J259" s="18">
        <f>STDEV(J254:J257)</f>
        <v>6.0294073990180191E-2</v>
      </c>
      <c r="K259" s="18">
        <f t="shared" ref="K259:O259" si="50">STDEV(K254:K257)</f>
        <v>1.2050447778678877E-2</v>
      </c>
      <c r="L259" s="18">
        <f t="shared" si="50"/>
        <v>2.4267782255149174E-2</v>
      </c>
      <c r="M259" s="18">
        <f t="shared" si="50"/>
        <v>2.8858291337441784E-2</v>
      </c>
      <c r="N259" s="18">
        <f t="shared" si="50"/>
        <v>0.15869258541805645</v>
      </c>
      <c r="O259" s="18">
        <f t="shared" si="50"/>
        <v>0.15869258541805639</v>
      </c>
    </row>
    <row r="260" spans="1:29" x14ac:dyDescent="0.2">
      <c r="B260" s="23"/>
    </row>
    <row r="261" spans="1:29" x14ac:dyDescent="0.2">
      <c r="A261" s="1" t="s">
        <v>76</v>
      </c>
      <c r="B261" s="23" t="s">
        <v>54</v>
      </c>
      <c r="C261" s="8">
        <v>75.66439484896776</v>
      </c>
      <c r="D261" s="8">
        <v>0.30555461423432423</v>
      </c>
      <c r="E261" s="8">
        <v>12.974508578227537</v>
      </c>
      <c r="F261" s="8">
        <v>1.7743279414699373</v>
      </c>
      <c r="G261" s="8">
        <v>0.10593027405324425</v>
      </c>
      <c r="H261" s="8">
        <v>0.30952928141836811</v>
      </c>
      <c r="I261" s="8">
        <v>1.409388770793008</v>
      </c>
      <c r="J261" s="8">
        <v>3.6183785155368029</v>
      </c>
      <c r="K261" s="8">
        <v>3.6018035725302733</v>
      </c>
      <c r="L261" s="8">
        <v>4.0481031017448862E-2</v>
      </c>
      <c r="M261" s="8">
        <v>0.25275543408386258</v>
      </c>
      <c r="N261" s="8">
        <v>100</v>
      </c>
      <c r="O261" s="8">
        <v>3.723047600309668</v>
      </c>
    </row>
    <row r="262" spans="1:29" x14ac:dyDescent="0.2">
      <c r="B262" s="23" t="s">
        <v>55</v>
      </c>
      <c r="C262" s="8">
        <v>75.621153709755774</v>
      </c>
      <c r="D262" s="8">
        <v>0.3509630230280068</v>
      </c>
      <c r="E262" s="8">
        <v>13.019668847029401</v>
      </c>
      <c r="F262" s="8">
        <v>1.7250535263201188</v>
      </c>
      <c r="G262" s="8">
        <v>7.6657642706633666E-2</v>
      </c>
      <c r="H262" s="8">
        <v>0.29422101455031352</v>
      </c>
      <c r="I262" s="8">
        <v>1.474501998923772</v>
      </c>
      <c r="J262" s="8">
        <v>3.4055980834292128</v>
      </c>
      <c r="K262" s="8">
        <v>3.8024021633333565</v>
      </c>
      <c r="L262" s="8">
        <v>0</v>
      </c>
      <c r="M262" s="8">
        <v>0.29673022436633739</v>
      </c>
      <c r="N262" s="8">
        <v>100</v>
      </c>
      <c r="O262" s="8">
        <v>2.6261683445347415</v>
      </c>
      <c r="P262" s="21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x14ac:dyDescent="0.2">
      <c r="B263" s="23" t="s">
        <v>56</v>
      </c>
      <c r="C263" s="8">
        <v>75.623546632234337</v>
      </c>
      <c r="D263" s="8">
        <v>0.30630445560444508</v>
      </c>
      <c r="E263" s="8">
        <v>13.203755394387711</v>
      </c>
      <c r="F263" s="8">
        <v>1.7292534138917408</v>
      </c>
      <c r="G263" s="8">
        <v>8.128830514276103E-2</v>
      </c>
      <c r="H263" s="8">
        <v>0.31653816595217088</v>
      </c>
      <c r="I263" s="8">
        <v>1.4198057547208029</v>
      </c>
      <c r="J263" s="8">
        <v>3.2763348632610754</v>
      </c>
      <c r="K263" s="8">
        <v>3.674965434004255</v>
      </c>
      <c r="L263" s="8">
        <v>0.14275853403943575</v>
      </c>
      <c r="M263" s="8">
        <v>0.29116772412455555</v>
      </c>
      <c r="N263" s="8">
        <v>100</v>
      </c>
      <c r="O263" s="8">
        <v>4.5643235692835518</v>
      </c>
      <c r="P263" s="21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x14ac:dyDescent="0.2">
      <c r="B264" s="23" t="s">
        <v>67</v>
      </c>
      <c r="C264" s="8">
        <v>75.463156700991107</v>
      </c>
      <c r="D264" s="8">
        <v>0.34333011647742606</v>
      </c>
      <c r="E264" s="8">
        <v>13.305724567431618</v>
      </c>
      <c r="F264" s="8">
        <v>1.7260853189814334</v>
      </c>
      <c r="G264" s="8">
        <v>3.7904740759977927E-2</v>
      </c>
      <c r="H264" s="8">
        <v>0.3211748058653679</v>
      </c>
      <c r="I264" s="8">
        <v>1.4233758624966779</v>
      </c>
      <c r="J264" s="8">
        <v>3.4845316290490915</v>
      </c>
      <c r="K264" s="8">
        <v>3.579283118800114</v>
      </c>
      <c r="L264" s="8">
        <v>9.2969200136282654E-2</v>
      </c>
      <c r="M264" s="8">
        <v>0.2872833253832302</v>
      </c>
      <c r="N264" s="8">
        <v>100</v>
      </c>
      <c r="O264" s="8">
        <v>3.6214892290265928</v>
      </c>
      <c r="P264" s="21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x14ac:dyDescent="0.2">
      <c r="B265" s="24" t="s">
        <v>20</v>
      </c>
      <c r="C265" s="18">
        <f>AVERAGE(C261:C264)</f>
        <v>75.593062972987241</v>
      </c>
      <c r="D265" s="18">
        <f t="shared" ref="D265:O265" si="51">AVERAGE(D261:D264)</f>
        <v>0.32653805233605054</v>
      </c>
      <c r="E265" s="18">
        <f t="shared" si="51"/>
        <v>13.125914346769067</v>
      </c>
      <c r="F265" s="18">
        <f t="shared" si="51"/>
        <v>1.7386800501658077</v>
      </c>
      <c r="G265" s="18">
        <f t="shared" si="51"/>
        <v>7.5445240665654209E-2</v>
      </c>
      <c r="H265" s="18">
        <f t="shared" si="51"/>
        <v>0.31036581694655507</v>
      </c>
      <c r="I265" s="18">
        <f t="shared" si="51"/>
        <v>1.4317680967335653</v>
      </c>
      <c r="J265" s="18">
        <f t="shared" si="51"/>
        <v>3.4462107728190459</v>
      </c>
      <c r="K265" s="18">
        <f t="shared" si="51"/>
        <v>3.6646135721669992</v>
      </c>
      <c r="L265" s="18">
        <f t="shared" si="51"/>
        <v>6.9052191298291821E-2</v>
      </c>
      <c r="M265" s="18">
        <f t="shared" si="51"/>
        <v>0.2819841769894964</v>
      </c>
      <c r="N265" s="18">
        <f t="shared" si="51"/>
        <v>100</v>
      </c>
      <c r="O265" s="18">
        <f t="shared" si="51"/>
        <v>3.6337571857886388</v>
      </c>
      <c r="P265" s="21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x14ac:dyDescent="0.2">
      <c r="B266" s="24" t="s">
        <v>21</v>
      </c>
      <c r="C266" s="18">
        <f t="shared" ref="C266:O266" si="52">STDEV(C261:C264)</f>
        <v>8.8848595952376236E-2</v>
      </c>
      <c r="D266" s="18">
        <f t="shared" si="52"/>
        <v>2.4001775786367741E-2</v>
      </c>
      <c r="E266" s="18">
        <f t="shared" si="52"/>
        <v>0.15556644573050449</v>
      </c>
      <c r="F266" s="18">
        <f t="shared" si="52"/>
        <v>2.3832352182124025E-2</v>
      </c>
      <c r="G266" s="18">
        <f t="shared" si="52"/>
        <v>2.8132055944557637E-2</v>
      </c>
      <c r="H266" s="18">
        <f t="shared" si="52"/>
        <v>1.1779736411846558E-2</v>
      </c>
      <c r="I266" s="18">
        <f t="shared" si="52"/>
        <v>2.9100674951353156E-2</v>
      </c>
      <c r="J266" s="18">
        <f t="shared" si="52"/>
        <v>0.14331484552359353</v>
      </c>
      <c r="K266" s="18">
        <f t="shared" si="52"/>
        <v>0.10053065738912825</v>
      </c>
      <c r="L266" s="18">
        <f t="shared" si="52"/>
        <v>6.2153478301489061E-2</v>
      </c>
      <c r="M266" s="18">
        <f t="shared" si="52"/>
        <v>1.9867761463942389E-2</v>
      </c>
      <c r="N266" s="18">
        <f t="shared" si="52"/>
        <v>0</v>
      </c>
      <c r="O266" s="18">
        <f t="shared" si="52"/>
        <v>0.79358098683512213</v>
      </c>
    </row>
    <row r="267" spans="1:29" x14ac:dyDescent="0.2">
      <c r="B267" s="2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29" x14ac:dyDescent="0.2">
      <c r="A268" s="1" t="s">
        <v>76</v>
      </c>
      <c r="B268" s="23" t="s">
        <v>221</v>
      </c>
      <c r="C268" s="8">
        <v>74.421817137996428</v>
      </c>
      <c r="D268" s="8">
        <v>0.32042361449663964</v>
      </c>
      <c r="E268" s="8">
        <v>14.466725463918003</v>
      </c>
      <c r="F268" s="8">
        <v>1.5316138226565505</v>
      </c>
      <c r="G268" s="8">
        <v>3.6164751227446709E-2</v>
      </c>
      <c r="H268" s="8">
        <v>0.25431028313952347</v>
      </c>
      <c r="I268" s="8">
        <v>2.984226174211456</v>
      </c>
      <c r="J268" s="8">
        <v>4.1198426738325971</v>
      </c>
      <c r="K268" s="8">
        <v>1.612595228812564</v>
      </c>
      <c r="L268" s="8">
        <v>0.12085441074570415</v>
      </c>
      <c r="M268" s="8">
        <v>0.16982583563992193</v>
      </c>
      <c r="N268" s="8">
        <v>100</v>
      </c>
      <c r="O268" s="8">
        <v>3.1216174150177114</v>
      </c>
      <c r="P268" s="1" t="s">
        <v>82</v>
      </c>
    </row>
    <row r="269" spans="1:29" x14ac:dyDescent="0.2">
      <c r="B269" s="23" t="s">
        <v>222</v>
      </c>
      <c r="C269" s="8">
        <v>75.067684335291602</v>
      </c>
      <c r="D269" s="8">
        <v>0.30431138315855771</v>
      </c>
      <c r="E269" s="8">
        <v>14.13136137200633</v>
      </c>
      <c r="F269" s="8">
        <v>1.4018522317548514</v>
      </c>
      <c r="G269" s="8">
        <v>3.3658134670585801E-2</v>
      </c>
      <c r="H269" s="8">
        <v>0.28827419523210435</v>
      </c>
      <c r="I269" s="8">
        <v>2.6687991050690258</v>
      </c>
      <c r="J269" s="8">
        <v>4.1698393732268402</v>
      </c>
      <c r="K269" s="8">
        <v>1.7973506100949499</v>
      </c>
      <c r="L269" s="8">
        <v>0</v>
      </c>
      <c r="M269" s="8">
        <v>0.17731679469573683</v>
      </c>
      <c r="N269" s="8">
        <v>100</v>
      </c>
      <c r="O269" s="8">
        <v>0.30138174028013726</v>
      </c>
    </row>
    <row r="270" spans="1:29" x14ac:dyDescent="0.2">
      <c r="B270" s="23" t="s">
        <v>223</v>
      </c>
      <c r="C270" s="8">
        <v>75.511556961039773</v>
      </c>
      <c r="D270" s="8">
        <v>0.39400288820253232</v>
      </c>
      <c r="E270" s="8">
        <v>13.109312764063199</v>
      </c>
      <c r="F270" s="8">
        <v>1.9507511129157193</v>
      </c>
      <c r="G270" s="8">
        <v>5.8194946274294564E-2</v>
      </c>
      <c r="H270" s="8">
        <v>0.31826494860969728</v>
      </c>
      <c r="I270" s="8">
        <v>2.0814844976529239</v>
      </c>
      <c r="J270" s="8">
        <v>4.0812631420162084</v>
      </c>
      <c r="K270" s="8">
        <v>2.2163277943315207</v>
      </c>
      <c r="L270" s="8">
        <v>0.10204238088619248</v>
      </c>
      <c r="M270" s="8">
        <v>0.22823376025051328</v>
      </c>
      <c r="N270" s="8">
        <v>100</v>
      </c>
      <c r="O270" s="8">
        <v>0.48684453282435314</v>
      </c>
    </row>
    <row r="271" spans="1:29" x14ac:dyDescent="0.2">
      <c r="B271" s="23" t="s">
        <v>224</v>
      </c>
      <c r="C271" s="8">
        <v>75.623115036657083</v>
      </c>
      <c r="D271" s="8">
        <v>0.27070833530895644</v>
      </c>
      <c r="E271" s="8">
        <v>13.826287401950449</v>
      </c>
      <c r="F271" s="8">
        <v>1.1948600892374086</v>
      </c>
      <c r="G271" s="8">
        <v>1.084227898712577E-2</v>
      </c>
      <c r="H271" s="8">
        <v>0.1798725773374551</v>
      </c>
      <c r="I271" s="8">
        <v>2.7932905180404823</v>
      </c>
      <c r="J271" s="8">
        <v>4.3533300767713623</v>
      </c>
      <c r="K271" s="8">
        <v>1.6013898094950165</v>
      </c>
      <c r="L271" s="8">
        <v>3.5704117259062799E-2</v>
      </c>
      <c r="M271" s="8">
        <v>0.14286917033624469</v>
      </c>
      <c r="N271" s="8">
        <v>100</v>
      </c>
      <c r="O271" s="8">
        <v>1.3486538336676985</v>
      </c>
    </row>
    <row r="272" spans="1:29" x14ac:dyDescent="0.2">
      <c r="B272" s="23" t="s">
        <v>225</v>
      </c>
      <c r="C272" s="8">
        <v>76.084954865070515</v>
      </c>
      <c r="D272" s="8">
        <v>0.42082550946653008</v>
      </c>
      <c r="E272" s="8">
        <v>12.904245613041901</v>
      </c>
      <c r="F272" s="8">
        <v>2.0100306646075969</v>
      </c>
      <c r="G272" s="8">
        <v>1.2541113335072653E-2</v>
      </c>
      <c r="H272" s="8">
        <v>0.34242017461037411</v>
      </c>
      <c r="I272" s="8">
        <v>2.0225152632983905</v>
      </c>
      <c r="J272" s="8">
        <v>3.6909611424919602</v>
      </c>
      <c r="K272" s="8">
        <v>2.3163605873812032</v>
      </c>
      <c r="L272" s="8">
        <v>4.015314099095732E-2</v>
      </c>
      <c r="M272" s="8">
        <v>0.20018720050516381</v>
      </c>
      <c r="N272" s="8">
        <v>100</v>
      </c>
      <c r="O272" s="8">
        <v>2.753898689657134</v>
      </c>
    </row>
    <row r="273" spans="2:15" x14ac:dyDescent="0.2">
      <c r="B273" s="23" t="s">
        <v>226</v>
      </c>
      <c r="C273" s="8">
        <v>76.28767483140939</v>
      </c>
      <c r="D273" s="8">
        <v>0.37558836573292187</v>
      </c>
      <c r="E273" s="8">
        <v>12.78259272398461</v>
      </c>
      <c r="F273" s="8">
        <v>2.0507224650398808</v>
      </c>
      <c r="G273" s="8">
        <v>7.242815465724628E-2</v>
      </c>
      <c r="H273" s="8">
        <v>0.4251924116344224</v>
      </c>
      <c r="I273" s="8">
        <v>1.979905756959091</v>
      </c>
      <c r="J273" s="8">
        <v>3.5423012745136804</v>
      </c>
      <c r="K273" s="8">
        <v>2.1353385744811675</v>
      </c>
      <c r="L273" s="8">
        <v>0.11859397608790076</v>
      </c>
      <c r="M273" s="8">
        <v>0.29669420586675721</v>
      </c>
      <c r="N273" s="8">
        <v>100</v>
      </c>
      <c r="O273" s="8">
        <v>1.0945154615128749</v>
      </c>
    </row>
    <row r="274" spans="2:15" x14ac:dyDescent="0.2">
      <c r="B274" s="23" t="s">
        <v>227</v>
      </c>
      <c r="C274" s="8">
        <v>76.465816628586538</v>
      </c>
      <c r="D274" s="8">
        <v>0.38507280434890229</v>
      </c>
      <c r="E274" s="8">
        <v>12.546419589217578</v>
      </c>
      <c r="F274" s="8">
        <v>1.9012461599574677</v>
      </c>
      <c r="G274" s="8">
        <v>4.2996603577211169E-2</v>
      </c>
      <c r="H274" s="8">
        <v>0.40531188611137164</v>
      </c>
      <c r="I274" s="8">
        <v>1.8772490384046512</v>
      </c>
      <c r="J274" s="8">
        <v>3.9475114029089542</v>
      </c>
      <c r="K274" s="8">
        <v>2.2809238881736147</v>
      </c>
      <c r="L274" s="8">
        <v>2.3623832995327759E-2</v>
      </c>
      <c r="M274" s="8">
        <v>0.15987918732163148</v>
      </c>
      <c r="N274" s="8">
        <v>100</v>
      </c>
      <c r="O274" s="8">
        <v>0.61686185667088866</v>
      </c>
    </row>
    <row r="275" spans="2:15" x14ac:dyDescent="0.2">
      <c r="B275" s="23" t="s">
        <v>228</v>
      </c>
      <c r="C275" s="8">
        <v>76.638115723925111</v>
      </c>
      <c r="D275" s="8">
        <v>0.40457125819774575</v>
      </c>
      <c r="E275" s="8">
        <v>12.337858539820205</v>
      </c>
      <c r="F275" s="8">
        <v>1.9162690060371763</v>
      </c>
      <c r="G275" s="8">
        <v>3.4053167022866163E-2</v>
      </c>
      <c r="H275" s="8">
        <v>0.40840272120961035</v>
      </c>
      <c r="I275" s="8">
        <v>1.9105289105773686</v>
      </c>
      <c r="J275" s="8">
        <v>3.442617181263953</v>
      </c>
      <c r="K275" s="8">
        <v>2.7009076025563652</v>
      </c>
      <c r="L275" s="8">
        <v>1.5856253094362754E-2</v>
      </c>
      <c r="M275" s="8">
        <v>0.24638193487411986</v>
      </c>
      <c r="N275" s="8">
        <v>100</v>
      </c>
      <c r="O275" s="8">
        <v>1.4151141308778505</v>
      </c>
    </row>
    <row r="276" spans="2:15" x14ac:dyDescent="0.2">
      <c r="B276" s="23" t="s">
        <v>229</v>
      </c>
      <c r="C276" s="8">
        <v>76.642144367953662</v>
      </c>
      <c r="D276" s="8">
        <v>0.32071599357305625</v>
      </c>
      <c r="E276" s="8">
        <v>12.770902003336888</v>
      </c>
      <c r="F276" s="8">
        <v>2.0207596361175901</v>
      </c>
      <c r="G276" s="8">
        <v>4.2012984624738847E-2</v>
      </c>
      <c r="H276" s="8">
        <v>0.41190609748324969</v>
      </c>
      <c r="I276" s="8">
        <v>1.9161661283750802</v>
      </c>
      <c r="J276" s="8">
        <v>3.2784644108019498</v>
      </c>
      <c r="K276" s="8">
        <v>2.1983623930670522</v>
      </c>
      <c r="L276" s="8">
        <v>0.16762727619931761</v>
      </c>
      <c r="M276" s="8">
        <v>0.29837528581446915</v>
      </c>
      <c r="N276" s="8">
        <v>100</v>
      </c>
      <c r="O276" s="8">
        <v>2.0822835667675337</v>
      </c>
    </row>
    <row r="277" spans="2:15" x14ac:dyDescent="0.2">
      <c r="B277" s="23" t="s">
        <v>230</v>
      </c>
      <c r="C277" s="8">
        <v>76.673132139897803</v>
      </c>
      <c r="D277" s="8">
        <v>0.32885466074934638</v>
      </c>
      <c r="E277" s="8">
        <v>12.664518031810873</v>
      </c>
      <c r="F277" s="8">
        <v>2.0038675278511149</v>
      </c>
      <c r="G277" s="8">
        <v>2.9322448242815012E-2</v>
      </c>
      <c r="H277" s="8">
        <v>0.41389370551356541</v>
      </c>
      <c r="I277" s="8">
        <v>2.0017636024882166</v>
      </c>
      <c r="J277" s="8">
        <v>3.3832940540043639</v>
      </c>
      <c r="K277" s="8">
        <v>2.307257611191345</v>
      </c>
      <c r="L277" s="8">
        <v>1.9783978929291072E-2</v>
      </c>
      <c r="M277" s="8">
        <v>0.22517766947706888</v>
      </c>
      <c r="N277" s="8">
        <v>100</v>
      </c>
      <c r="O277" s="8">
        <v>1.1502578316430818</v>
      </c>
    </row>
    <row r="278" spans="2:15" x14ac:dyDescent="0.2">
      <c r="B278" s="23" t="s">
        <v>231</v>
      </c>
      <c r="C278" s="8">
        <v>76.673336786796369</v>
      </c>
      <c r="D278" s="8">
        <v>0.30983969011234391</v>
      </c>
      <c r="E278" s="8">
        <v>12.837537194694502</v>
      </c>
      <c r="F278" s="8">
        <v>1.9359922712639854</v>
      </c>
      <c r="G278" s="8">
        <v>1.0939447306644848E-2</v>
      </c>
      <c r="H278" s="8">
        <v>0.46608765516412082</v>
      </c>
      <c r="I278" s="8">
        <v>2.0490028365668285</v>
      </c>
      <c r="J278" s="8">
        <v>3.4672383092356736</v>
      </c>
      <c r="K278" s="8">
        <v>2.080113522464647</v>
      </c>
      <c r="L278" s="8">
        <v>0</v>
      </c>
      <c r="M278" s="8">
        <v>0.2194353354250117</v>
      </c>
      <c r="N278" s="8">
        <v>100</v>
      </c>
      <c r="O278" s="8">
        <v>2.4388735522506715</v>
      </c>
    </row>
    <row r="279" spans="2:15" x14ac:dyDescent="0.2">
      <c r="B279" s="23" t="s">
        <v>232</v>
      </c>
      <c r="C279" s="8">
        <v>76.67533613929082</v>
      </c>
      <c r="D279" s="8">
        <v>0.44357439983735036</v>
      </c>
      <c r="E279" s="8">
        <v>12.67497346936949</v>
      </c>
      <c r="F279" s="8">
        <v>1.5357847584347042</v>
      </c>
      <c r="G279" s="8">
        <v>2.3189536860207978E-2</v>
      </c>
      <c r="H279" s="8">
        <v>0.15332200824311928</v>
      </c>
      <c r="I279" s="8">
        <v>1.8556900759003638</v>
      </c>
      <c r="J279" s="8">
        <v>4.0535667256130985</v>
      </c>
      <c r="K279" s="8">
        <v>2.454820691851086</v>
      </c>
      <c r="L279" s="8">
        <v>2.774513131071395E-2</v>
      </c>
      <c r="M279" s="8">
        <v>0.13166620845536692</v>
      </c>
      <c r="N279" s="8">
        <v>100</v>
      </c>
      <c r="O279" s="8">
        <v>1.3705930241649744</v>
      </c>
    </row>
    <row r="280" spans="2:15" x14ac:dyDescent="0.2">
      <c r="B280" s="23" t="s">
        <v>233</v>
      </c>
      <c r="C280" s="8">
        <v>76.812865166903492</v>
      </c>
      <c r="D280" s="8">
        <v>0.38612453530805141</v>
      </c>
      <c r="E280" s="8">
        <v>12.59202671339186</v>
      </c>
      <c r="F280" s="8">
        <v>1.7087242894278283</v>
      </c>
      <c r="G280" s="8">
        <v>8.3363234347923892E-2</v>
      </c>
      <c r="H280" s="8">
        <v>0.3048863710940164</v>
      </c>
      <c r="I280" s="8">
        <v>1.934714018135488</v>
      </c>
      <c r="J280" s="8">
        <v>3.5917124214866494</v>
      </c>
      <c r="K280" s="8">
        <v>2.3070615042794747</v>
      </c>
      <c r="L280" s="8">
        <v>0.1266373898016612</v>
      </c>
      <c r="M280" s="8">
        <v>0.19604050135666054</v>
      </c>
      <c r="N280" s="8">
        <v>100</v>
      </c>
      <c r="O280" s="8">
        <v>1.1456513036118872</v>
      </c>
    </row>
    <row r="281" spans="2:15" x14ac:dyDescent="0.2">
      <c r="B281" s="23" t="s">
        <v>234</v>
      </c>
      <c r="C281" s="8">
        <v>76.821960090813647</v>
      </c>
      <c r="D281" s="8">
        <v>0.42651660521201545</v>
      </c>
      <c r="E281" s="8">
        <v>12.740702056528313</v>
      </c>
      <c r="F281" s="8">
        <v>1.8176779582654332</v>
      </c>
      <c r="G281" s="8">
        <v>5.1088230410173505E-2</v>
      </c>
      <c r="H281" s="8">
        <v>0.39546751145897668</v>
      </c>
      <c r="I281" s="8">
        <v>1.6907539551727444</v>
      </c>
      <c r="J281" s="8">
        <v>3.2623162457846702</v>
      </c>
      <c r="K281" s="8">
        <v>2.6129317256442315</v>
      </c>
      <c r="L281" s="8">
        <v>1.9838217624416878E-2</v>
      </c>
      <c r="M281" s="8">
        <v>0.20751181532175847</v>
      </c>
      <c r="N281" s="8">
        <v>100</v>
      </c>
      <c r="O281" s="8">
        <v>1.4742589484239179</v>
      </c>
    </row>
    <row r="282" spans="2:15" x14ac:dyDescent="0.2">
      <c r="B282" s="23" t="s">
        <v>235</v>
      </c>
      <c r="C282" s="8">
        <v>76.841824689052999</v>
      </c>
      <c r="D282" s="8">
        <v>0.30626209241906299</v>
      </c>
      <c r="E282" s="8">
        <v>12.674352177500495</v>
      </c>
      <c r="F282" s="8">
        <v>1.9181517924481812</v>
      </c>
      <c r="G282" s="8">
        <v>3.234700743351538E-2</v>
      </c>
      <c r="H282" s="8">
        <v>0.37639052570367382</v>
      </c>
      <c r="I282" s="8">
        <v>1.9534219959647314</v>
      </c>
      <c r="J282" s="8">
        <v>3.4193114306956804</v>
      </c>
      <c r="K282" s="8">
        <v>2.2332814178555735</v>
      </c>
      <c r="L282" s="8">
        <v>5.9258586709870983E-2</v>
      </c>
      <c r="M282" s="8">
        <v>0.23940218615372127</v>
      </c>
      <c r="N282" s="8">
        <v>100</v>
      </c>
      <c r="O282" s="8">
        <v>0.97395796321328909</v>
      </c>
    </row>
    <row r="283" spans="2:15" x14ac:dyDescent="0.2">
      <c r="B283" s="23" t="s">
        <v>236</v>
      </c>
      <c r="C283" s="8">
        <v>76.918980350427887</v>
      </c>
      <c r="D283" s="8">
        <v>0.34557020607322059</v>
      </c>
      <c r="E283" s="8">
        <v>12.409178639015881</v>
      </c>
      <c r="F283" s="8">
        <v>1.9728683561667186</v>
      </c>
      <c r="G283" s="8">
        <v>9.2536578395583893E-2</v>
      </c>
      <c r="H283" s="8">
        <v>0.37122702683715236</v>
      </c>
      <c r="I283" s="8">
        <v>1.7395334596983687</v>
      </c>
      <c r="J283" s="8">
        <v>3.6172929780184311</v>
      </c>
      <c r="K283" s="8">
        <v>2.3704757149824038</v>
      </c>
      <c r="L283" s="8">
        <v>4.3542220369630555E-2</v>
      </c>
      <c r="M283" s="8">
        <v>0.15335300847773972</v>
      </c>
      <c r="N283" s="8">
        <v>100</v>
      </c>
      <c r="O283" s="8">
        <v>1.1903796644911724</v>
      </c>
    </row>
    <row r="284" spans="2:15" x14ac:dyDescent="0.2">
      <c r="B284" s="23" t="s">
        <v>237</v>
      </c>
      <c r="C284" s="8">
        <v>76.999577382606859</v>
      </c>
      <c r="D284" s="8">
        <v>0.4178033018481927</v>
      </c>
      <c r="E284" s="8">
        <v>12.580198729003097</v>
      </c>
      <c r="F284" s="8">
        <v>1.8249993739862393</v>
      </c>
      <c r="G284" s="8">
        <v>3.0851009068499002E-3</v>
      </c>
      <c r="H284" s="8">
        <v>0.35316674947159693</v>
      </c>
      <c r="I284" s="8">
        <v>1.9222512938274559</v>
      </c>
      <c r="J284" s="8">
        <v>3.4991592417931519</v>
      </c>
      <c r="K284" s="8">
        <v>2.1319128516896297</v>
      </c>
      <c r="L284" s="8">
        <v>8.7025512642618208E-2</v>
      </c>
      <c r="M284" s="8">
        <v>0.23367441500251931</v>
      </c>
      <c r="N284" s="8">
        <v>100</v>
      </c>
      <c r="O284" s="8">
        <v>1.0514545316049859</v>
      </c>
    </row>
    <row r="285" spans="2:15" x14ac:dyDescent="0.2">
      <c r="B285" s="23" t="s">
        <v>238</v>
      </c>
      <c r="C285" s="8">
        <v>77.254687974995619</v>
      </c>
      <c r="D285" s="8">
        <v>0.38119195378178006</v>
      </c>
      <c r="E285" s="8">
        <v>12.638037308362197</v>
      </c>
      <c r="F285" s="8">
        <v>1.1531897884545457</v>
      </c>
      <c r="G285" s="8">
        <v>6.4165920752947719E-2</v>
      </c>
      <c r="H285" s="8">
        <v>0.24126808252971846</v>
      </c>
      <c r="I285" s="8">
        <v>1.6105299864198941</v>
      </c>
      <c r="J285" s="8">
        <v>3.7583642784390836</v>
      </c>
      <c r="K285" s="8">
        <v>2.7667622217060166</v>
      </c>
      <c r="L285" s="8">
        <v>0</v>
      </c>
      <c r="M285" s="8">
        <v>0.17025307103067083</v>
      </c>
      <c r="N285" s="8">
        <v>100</v>
      </c>
      <c r="O285" s="8">
        <v>2.4392872584496952</v>
      </c>
    </row>
    <row r="286" spans="2:15" x14ac:dyDescent="0.2">
      <c r="B286" s="23" t="s">
        <v>239</v>
      </c>
      <c r="C286" s="8">
        <v>77.448788061254717</v>
      </c>
      <c r="D286" s="8">
        <v>0.42025584513150865</v>
      </c>
      <c r="E286" s="8">
        <v>12.505370369194562</v>
      </c>
      <c r="F286" s="8">
        <v>1.8816488081428602</v>
      </c>
      <c r="G286" s="8">
        <v>3.8599870074713244E-2</v>
      </c>
      <c r="H286" s="8">
        <v>0.38711170127354683</v>
      </c>
      <c r="I286" s="8">
        <v>1.6652207966882702</v>
      </c>
      <c r="J286" s="8">
        <v>3.1758862930039893</v>
      </c>
      <c r="K286" s="8">
        <v>2.3158201953105304</v>
      </c>
      <c r="L286" s="8">
        <v>3.5667619596941369E-2</v>
      </c>
      <c r="M286" s="8">
        <v>0.16208120756843336</v>
      </c>
      <c r="N286" s="8">
        <v>100</v>
      </c>
      <c r="O286" s="8">
        <v>1.1818660376765893</v>
      </c>
    </row>
    <row r="287" spans="2:15" x14ac:dyDescent="0.2">
      <c r="B287" s="23" t="s">
        <v>240</v>
      </c>
      <c r="C287" s="8">
        <v>77.45779185143499</v>
      </c>
      <c r="D287" s="8">
        <v>0.33701359830147332</v>
      </c>
      <c r="E287" s="8">
        <v>12.345392158635827</v>
      </c>
      <c r="F287" s="8">
        <v>1.9494171582344768</v>
      </c>
      <c r="G287" s="8">
        <v>6.0096448744191219E-2</v>
      </c>
      <c r="H287" s="8">
        <v>0.3730132421952157</v>
      </c>
      <c r="I287" s="8">
        <v>1.618826544160697</v>
      </c>
      <c r="J287" s="8">
        <v>3.4172722364829946</v>
      </c>
      <c r="K287" s="8">
        <v>2.244769303599194</v>
      </c>
      <c r="L287" s="8">
        <v>7.9150088924831753E-3</v>
      </c>
      <c r="M287" s="8">
        <v>0.24334255117223272</v>
      </c>
      <c r="N287" s="8">
        <v>100</v>
      </c>
      <c r="O287" s="8">
        <v>1.085681896336852</v>
      </c>
    </row>
    <row r="288" spans="2:15" x14ac:dyDescent="0.2">
      <c r="B288" s="23" t="s">
        <v>241</v>
      </c>
      <c r="C288" s="8">
        <v>78.594612907829273</v>
      </c>
      <c r="D288" s="8">
        <v>0.54501976884739978</v>
      </c>
      <c r="E288" s="8">
        <v>11.007169341492094</v>
      </c>
      <c r="F288" s="8">
        <v>2.1211206616469305</v>
      </c>
      <c r="G288" s="8">
        <v>8.9481884558369473E-2</v>
      </c>
      <c r="H288" s="8">
        <v>0.406818721372951</v>
      </c>
      <c r="I288" s="8">
        <v>1.1834890181115598</v>
      </c>
      <c r="J288" s="8">
        <v>3.2735246135075933</v>
      </c>
      <c r="K288" s="8">
        <v>2.4617915358230253</v>
      </c>
      <c r="L288" s="8">
        <v>0.11884472480799647</v>
      </c>
      <c r="M288" s="8">
        <v>0.25583657130035475</v>
      </c>
      <c r="N288" s="8">
        <v>100</v>
      </c>
      <c r="O288" s="8">
        <v>1.1883667021400692</v>
      </c>
    </row>
    <row r="289" spans="1:17" x14ac:dyDescent="0.2">
      <c r="B289" s="23" t="s">
        <v>242</v>
      </c>
      <c r="C289" s="8">
        <v>78.612451447266807</v>
      </c>
      <c r="D289" s="8">
        <v>0.51478275648854754</v>
      </c>
      <c r="E289" s="8">
        <v>11.349676460517715</v>
      </c>
      <c r="F289" s="8">
        <v>1.9426403565363626</v>
      </c>
      <c r="G289" s="8">
        <v>6.9790637365650887E-2</v>
      </c>
      <c r="H289" s="8">
        <v>0.34508949315565901</v>
      </c>
      <c r="I289" s="8">
        <v>1.1870532479572193</v>
      </c>
      <c r="J289" s="8">
        <v>3.1512297801251892</v>
      </c>
      <c r="K289" s="8">
        <v>2.6070064509971171</v>
      </c>
      <c r="L289" s="8">
        <v>2.7883091066922123E-2</v>
      </c>
      <c r="M289" s="8">
        <v>0.24858362157830965</v>
      </c>
      <c r="N289" s="8">
        <v>100</v>
      </c>
      <c r="O289" s="8">
        <v>1.7296912215773053</v>
      </c>
    </row>
    <row r="290" spans="1:17" x14ac:dyDescent="0.2">
      <c r="B290" s="23" t="s">
        <v>243</v>
      </c>
      <c r="C290" s="8">
        <v>78.816899775921613</v>
      </c>
      <c r="D290" s="8">
        <v>0.46369221833939933</v>
      </c>
      <c r="E290" s="8">
        <v>11.587902450551942</v>
      </c>
      <c r="F290" s="8">
        <v>1.6835575281175883</v>
      </c>
      <c r="G290" s="8">
        <v>6.5308060557812589E-2</v>
      </c>
      <c r="H290" s="8">
        <v>0.1756133351365339</v>
      </c>
      <c r="I290" s="8">
        <v>1.2635258418531825</v>
      </c>
      <c r="J290" s="8">
        <v>3.2523619801166963</v>
      </c>
      <c r="K290" s="8">
        <v>2.4667635612104779</v>
      </c>
      <c r="L290" s="8">
        <v>5.9862583232069583E-2</v>
      </c>
      <c r="M290" s="8">
        <v>0.21236445337533041</v>
      </c>
      <c r="N290" s="8">
        <v>100</v>
      </c>
      <c r="O290" s="8">
        <v>1.8036516310152488</v>
      </c>
      <c r="Q290" s="4"/>
    </row>
    <row r="291" spans="1:17" x14ac:dyDescent="0.2">
      <c r="B291" s="23" t="s">
        <v>244</v>
      </c>
      <c r="C291" s="8">
        <v>79.710654638571953</v>
      </c>
      <c r="D291" s="8">
        <v>0.52013176382745363</v>
      </c>
      <c r="E291" s="8">
        <v>10.848805276488264</v>
      </c>
      <c r="F291" s="8">
        <v>1.8196082162257932</v>
      </c>
      <c r="G291" s="8">
        <v>6.332333784024631E-2</v>
      </c>
      <c r="H291" s="8">
        <v>0.15272438581989284</v>
      </c>
      <c r="I291" s="8">
        <v>0.78611063844516227</v>
      </c>
      <c r="J291" s="8">
        <v>3.2172937016264043</v>
      </c>
      <c r="K291" s="8">
        <v>2.623392532204285</v>
      </c>
      <c r="L291" s="8">
        <v>0.11518414620622097</v>
      </c>
      <c r="M291" s="8">
        <v>0.18432075416139998</v>
      </c>
      <c r="N291" s="8">
        <v>100</v>
      </c>
      <c r="O291" s="8">
        <v>1.2412071566123197</v>
      </c>
    </row>
    <row r="292" spans="1:17" x14ac:dyDescent="0.2">
      <c r="B292" s="24" t="s">
        <v>20</v>
      </c>
      <c r="C292" s="18">
        <f t="shared" ref="C292:O292" si="53">AVERAGE(C268:C291)</f>
        <v>76.877324137124802</v>
      </c>
      <c r="D292" s="18">
        <f t="shared" si="53"/>
        <v>0.3892855645317912</v>
      </c>
      <c r="E292" s="18">
        <f t="shared" si="53"/>
        <v>12.597147743662342</v>
      </c>
      <c r="F292" s="18">
        <f t="shared" si="53"/>
        <v>1.8019730847302924</v>
      </c>
      <c r="G292" s="18">
        <f t="shared" si="53"/>
        <v>4.6647078257259743E-2</v>
      </c>
      <c r="H292" s="18">
        <f t="shared" si="53"/>
        <v>0.33125149209739785</v>
      </c>
      <c r="I292" s="18">
        <f t="shared" si="53"/>
        <v>1.8623355293324435</v>
      </c>
      <c r="J292" s="18">
        <f t="shared" si="53"/>
        <v>3.5902481236567159</v>
      </c>
      <c r="K292" s="18">
        <f t="shared" si="53"/>
        <v>2.2851548887167703</v>
      </c>
      <c r="L292" s="18">
        <f t="shared" si="53"/>
        <v>5.7235149977069265E-2</v>
      </c>
      <c r="M292" s="18">
        <f t="shared" si="53"/>
        <v>0.20845028104838068</v>
      </c>
      <c r="N292" s="18">
        <f t="shared" si="53"/>
        <v>100</v>
      </c>
      <c r="O292" s="18">
        <f t="shared" si="53"/>
        <v>1.4452645812703435</v>
      </c>
    </row>
    <row r="293" spans="1:17" x14ac:dyDescent="0.2">
      <c r="B293" s="24" t="s">
        <v>21</v>
      </c>
      <c r="C293" s="18">
        <f t="shared" ref="C293:O293" si="54">STDEV(C268:C291)</f>
        <v>1.192453102104214</v>
      </c>
      <c r="D293" s="18">
        <f t="shared" si="54"/>
        <v>7.298656821866728E-2</v>
      </c>
      <c r="E293" s="18">
        <f t="shared" si="54"/>
        <v>0.83962956514920806</v>
      </c>
      <c r="F293" s="18">
        <f t="shared" si="54"/>
        <v>0.26098471021263936</v>
      </c>
      <c r="G293" s="18">
        <f t="shared" si="54"/>
        <v>2.5508534571674377E-2</v>
      </c>
      <c r="H293" s="18">
        <f t="shared" si="54"/>
        <v>9.2854692090608398E-2</v>
      </c>
      <c r="I293" s="18">
        <f t="shared" si="54"/>
        <v>0.4925467189565722</v>
      </c>
      <c r="J293" s="18">
        <f t="shared" si="54"/>
        <v>0.35468765025375731</v>
      </c>
      <c r="K293" s="18">
        <f t="shared" si="54"/>
        <v>0.30186101930596071</v>
      </c>
      <c r="L293" s="18">
        <f t="shared" si="54"/>
        <v>4.9307263411963474E-2</v>
      </c>
      <c r="M293" s="18">
        <f t="shared" si="54"/>
        <v>4.5327108805578949E-2</v>
      </c>
      <c r="N293" s="18">
        <f t="shared" si="54"/>
        <v>0</v>
      </c>
      <c r="O293" s="18">
        <f t="shared" si="54"/>
        <v>0.6944319298900119</v>
      </c>
      <c r="Q293" s="4"/>
    </row>
    <row r="294" spans="1:17" x14ac:dyDescent="0.2">
      <c r="B294" s="23"/>
    </row>
    <row r="295" spans="1:17" x14ac:dyDescent="0.2">
      <c r="A295" s="1" t="s">
        <v>76</v>
      </c>
      <c r="B295" s="23" t="s">
        <v>63</v>
      </c>
      <c r="C295" s="8">
        <v>74.426299999999998</v>
      </c>
      <c r="D295" s="8">
        <v>0.13101299999999999</v>
      </c>
      <c r="E295" s="8">
        <v>13.110900000000001</v>
      </c>
      <c r="F295" s="8">
        <v>1.6559699999999999</v>
      </c>
      <c r="G295" s="8">
        <v>5.1887000000000003E-2</v>
      </c>
      <c r="H295" s="8">
        <v>4.7794000000000003E-2</v>
      </c>
      <c r="I295" s="8">
        <v>0.67629700000000004</v>
      </c>
      <c r="J295" s="8">
        <v>3.96793</v>
      </c>
      <c r="K295" s="8">
        <v>5.0756399999999999</v>
      </c>
      <c r="L295" s="8">
        <v>0</v>
      </c>
      <c r="M295" s="8">
        <v>0.35956100000000002</v>
      </c>
      <c r="N295" s="8">
        <v>99.422200000000004</v>
      </c>
      <c r="O295" s="8">
        <f t="shared" ref="O295:O300" si="55">100-N295</f>
        <v>0.57779999999999632</v>
      </c>
    </row>
    <row r="296" spans="1:17" x14ac:dyDescent="0.2">
      <c r="B296" s="23" t="s">
        <v>64</v>
      </c>
      <c r="C296" s="8">
        <v>74.428799999999995</v>
      </c>
      <c r="D296" s="8">
        <v>7.9853999999999994E-2</v>
      </c>
      <c r="E296" s="8">
        <v>13.0808</v>
      </c>
      <c r="F296" s="8">
        <v>1.5266900000000001</v>
      </c>
      <c r="G296" s="8">
        <v>8.3971000000000004E-2</v>
      </c>
      <c r="H296" s="8">
        <v>4.2483E-2</v>
      </c>
      <c r="I296" s="8">
        <v>0.66552800000000001</v>
      </c>
      <c r="J296" s="8">
        <v>3.9278400000000002</v>
      </c>
      <c r="K296" s="8">
        <v>5.2824400000000002</v>
      </c>
      <c r="L296" s="8">
        <v>0</v>
      </c>
      <c r="M296" s="8">
        <v>0.33682000000000001</v>
      </c>
      <c r="N296" s="8">
        <v>99.379199999999997</v>
      </c>
      <c r="O296" s="8">
        <f t="shared" si="55"/>
        <v>0.62080000000000268</v>
      </c>
    </row>
    <row r="297" spans="1:17" x14ac:dyDescent="0.2">
      <c r="B297" s="23" t="s">
        <v>245</v>
      </c>
      <c r="C297" s="8">
        <v>74.530500000000004</v>
      </c>
      <c r="D297" s="8">
        <v>9.0042999999999998E-2</v>
      </c>
      <c r="E297" s="8">
        <v>13.065300000000001</v>
      </c>
      <c r="F297" s="8">
        <v>1.6280699999999999</v>
      </c>
      <c r="G297" s="8">
        <v>4.1218999999999999E-2</v>
      </c>
      <c r="H297" s="8">
        <v>3.0426999999999999E-2</v>
      </c>
      <c r="I297" s="8">
        <v>0.72728999999999999</v>
      </c>
      <c r="J297" s="8">
        <v>4.2053399999999996</v>
      </c>
      <c r="K297" s="8">
        <v>5.2164000000000001</v>
      </c>
      <c r="L297" s="8">
        <v>7.3923000000000003E-2</v>
      </c>
      <c r="M297" s="8">
        <v>0.30444300000000002</v>
      </c>
      <c r="N297" s="8">
        <v>99.844200000000001</v>
      </c>
      <c r="O297" s="8">
        <f t="shared" si="55"/>
        <v>0.15579999999999927</v>
      </c>
    </row>
    <row r="298" spans="1:17" x14ac:dyDescent="0.2">
      <c r="B298" s="23" t="s">
        <v>246</v>
      </c>
      <c r="C298" s="8">
        <v>74.329400000000007</v>
      </c>
      <c r="D298" s="8">
        <v>7.2968000000000005E-2</v>
      </c>
      <c r="E298" s="8">
        <v>12.971500000000001</v>
      </c>
      <c r="F298" s="8">
        <v>1.5264500000000001</v>
      </c>
      <c r="G298" s="8">
        <v>6.2590000000000007E-2</v>
      </c>
      <c r="H298" s="8">
        <v>5.5792000000000001E-2</v>
      </c>
      <c r="I298" s="8">
        <v>0.73238700000000001</v>
      </c>
      <c r="J298" s="8">
        <v>3.9146299999999998</v>
      </c>
      <c r="K298" s="8">
        <v>5.1616799999999996</v>
      </c>
      <c r="L298" s="8">
        <v>0</v>
      </c>
      <c r="M298" s="8">
        <v>0.37155199999999999</v>
      </c>
      <c r="N298" s="8">
        <v>99.115099999999998</v>
      </c>
      <c r="O298" s="8">
        <f t="shared" si="55"/>
        <v>0.8849000000000018</v>
      </c>
    </row>
    <row r="299" spans="1:17" x14ac:dyDescent="0.2">
      <c r="B299" s="23" t="s">
        <v>247</v>
      </c>
      <c r="C299" s="8">
        <v>74.608699999999999</v>
      </c>
      <c r="D299" s="8">
        <v>5.8873000000000002E-2</v>
      </c>
      <c r="E299" s="8">
        <v>13.2255</v>
      </c>
      <c r="F299" s="8">
        <v>1.59822</v>
      </c>
      <c r="G299" s="8">
        <v>6.8696999999999994E-2</v>
      </c>
      <c r="H299" s="8">
        <v>3.2305E-2</v>
      </c>
      <c r="I299" s="8">
        <v>0.71068299999999995</v>
      </c>
      <c r="J299" s="8">
        <v>3.9813900000000002</v>
      </c>
      <c r="K299" s="8">
        <v>4.9097299999999997</v>
      </c>
      <c r="L299" s="8">
        <v>3.1151000000000002E-2</v>
      </c>
      <c r="M299" s="8">
        <v>0.37418499999999999</v>
      </c>
      <c r="N299" s="8">
        <v>99.515000000000001</v>
      </c>
      <c r="O299" s="8">
        <f t="shared" si="55"/>
        <v>0.48499999999999943</v>
      </c>
      <c r="P299" s="6"/>
    </row>
    <row r="300" spans="1:17" x14ac:dyDescent="0.2">
      <c r="B300" s="23" t="s">
        <v>248</v>
      </c>
      <c r="C300" s="8">
        <v>74.284099999999995</v>
      </c>
      <c r="D300" s="8">
        <v>5.0495999999999999E-2</v>
      </c>
      <c r="E300" s="8">
        <v>13.024800000000001</v>
      </c>
      <c r="F300" s="8">
        <v>1.51024</v>
      </c>
      <c r="G300" s="8">
        <v>8.0910999999999997E-2</v>
      </c>
      <c r="H300" s="8">
        <v>4.1098000000000003E-2</v>
      </c>
      <c r="I300" s="8">
        <v>0.71137600000000001</v>
      </c>
      <c r="J300" s="8">
        <v>3.8499099999999999</v>
      </c>
      <c r="K300" s="8">
        <v>5.0628000000000002</v>
      </c>
      <c r="L300" s="8">
        <v>0</v>
      </c>
      <c r="M300" s="8">
        <v>0.30454500000000001</v>
      </c>
      <c r="N300" s="8">
        <v>98.851500000000001</v>
      </c>
      <c r="O300" s="8">
        <f t="shared" si="55"/>
        <v>1.1484999999999985</v>
      </c>
      <c r="P300" s="6"/>
    </row>
    <row r="301" spans="1:17" x14ac:dyDescent="0.2">
      <c r="B301" s="24" t="s">
        <v>20</v>
      </c>
      <c r="C301" s="18">
        <f>AVERAGE(C295:C300)</f>
        <v>74.434633333333338</v>
      </c>
      <c r="D301" s="18">
        <f>AVERAGE(D295:D300)</f>
        <v>8.054116666666665E-2</v>
      </c>
      <c r="E301" s="18">
        <f t="shared" ref="E301:O301" si="56">AVERAGE(E295:E300)</f>
        <v>13.079800000000001</v>
      </c>
      <c r="F301" s="18">
        <f t="shared" si="56"/>
        <v>1.5742733333333332</v>
      </c>
      <c r="G301" s="18">
        <f t="shared" si="56"/>
        <v>6.4879166666666668E-2</v>
      </c>
      <c r="H301" s="18">
        <f t="shared" si="56"/>
        <v>4.164983333333333E-2</v>
      </c>
      <c r="I301" s="18">
        <f t="shared" si="56"/>
        <v>0.70392683333333339</v>
      </c>
      <c r="J301" s="18">
        <f t="shared" si="56"/>
        <v>3.9745066666666671</v>
      </c>
      <c r="K301" s="18">
        <f t="shared" si="56"/>
        <v>5.1181150000000004</v>
      </c>
      <c r="L301" s="18">
        <f t="shared" si="56"/>
        <v>1.7512333333333335E-2</v>
      </c>
      <c r="M301" s="18">
        <f t="shared" si="56"/>
        <v>0.34185099999999996</v>
      </c>
      <c r="N301" s="18">
        <f t="shared" si="56"/>
        <v>99.354533333333336</v>
      </c>
      <c r="O301" s="18">
        <f t="shared" si="56"/>
        <v>0.6454666666666663</v>
      </c>
      <c r="P301" s="6"/>
    </row>
    <row r="302" spans="1:17" x14ac:dyDescent="0.2">
      <c r="B302" s="24" t="s">
        <v>21</v>
      </c>
      <c r="C302" s="18">
        <f>STDEV(C295:C300)</f>
        <v>0.12110114230124648</v>
      </c>
      <c r="D302" s="18">
        <f t="shared" ref="D302:F302" si="57">STDEV(D295:D300)</f>
        <v>2.8522753495528221E-2</v>
      </c>
      <c r="E302" s="18">
        <f t="shared" si="57"/>
        <v>8.6210022619182591E-2</v>
      </c>
      <c r="F302" s="18">
        <f t="shared" si="57"/>
        <v>6.1308045366547596E-2</v>
      </c>
      <c r="G302" s="18">
        <f>STDEV(G295:G300)</f>
        <v>1.6552545404458646E-2</v>
      </c>
      <c r="H302" s="18">
        <f t="shared" ref="H302:J302" si="58">STDEV(H295:H300)</f>
        <v>9.5081885428648649E-3</v>
      </c>
      <c r="I302" s="18">
        <f t="shared" si="58"/>
        <v>2.7183938665444822E-2</v>
      </c>
      <c r="J302" s="18">
        <f t="shared" si="58"/>
        <v>0.12219818569302343</v>
      </c>
      <c r="K302" s="18">
        <f>STDEV(K295:K300)</f>
        <v>0.13179433914246863</v>
      </c>
      <c r="L302" s="18">
        <f t="shared" ref="L302:O302" si="59">STDEV(L295:L300)</f>
        <v>3.0314695503446291E-2</v>
      </c>
      <c r="M302" s="18">
        <f t="shared" si="59"/>
        <v>3.1804679272081957E-2</v>
      </c>
      <c r="N302" s="18">
        <f t="shared" si="59"/>
        <v>0.34090499360770121</v>
      </c>
      <c r="O302" s="18">
        <f t="shared" si="59"/>
        <v>0.34090499360770105</v>
      </c>
      <c r="P302" s="6"/>
    </row>
    <row r="303" spans="1:17" x14ac:dyDescent="0.2">
      <c r="B303" s="23"/>
    </row>
    <row r="304" spans="1:17" x14ac:dyDescent="0.2">
      <c r="A304" s="1" t="s">
        <v>76</v>
      </c>
      <c r="B304" s="23" t="s">
        <v>66</v>
      </c>
      <c r="C304" s="39">
        <v>75.680000000000007</v>
      </c>
      <c r="D304" s="39">
        <v>0.31</v>
      </c>
      <c r="E304" s="39">
        <v>13</v>
      </c>
      <c r="F304" s="39">
        <v>1.72</v>
      </c>
      <c r="G304" s="39">
        <v>0.06</v>
      </c>
      <c r="H304" s="39">
        <v>0.31</v>
      </c>
      <c r="I304" s="39">
        <v>1.45</v>
      </c>
      <c r="J304" s="39">
        <v>3.35</v>
      </c>
      <c r="K304" s="39">
        <v>3.81</v>
      </c>
      <c r="L304" s="39">
        <v>7.0000000000000007E-2</v>
      </c>
      <c r="M304" s="39">
        <v>0.32</v>
      </c>
      <c r="N304" s="39">
        <v>100</v>
      </c>
      <c r="O304" s="39">
        <v>4.7699999999999996</v>
      </c>
    </row>
    <row r="305" spans="2:15" x14ac:dyDescent="0.2">
      <c r="B305" s="23" t="s">
        <v>65</v>
      </c>
      <c r="C305" s="39">
        <v>76.040000000000006</v>
      </c>
      <c r="D305" s="39">
        <v>0.3</v>
      </c>
      <c r="E305" s="39">
        <v>13.05</v>
      </c>
      <c r="F305" s="39">
        <v>1.71</v>
      </c>
      <c r="G305" s="39">
        <v>0.05</v>
      </c>
      <c r="H305" s="39">
        <v>0.32</v>
      </c>
      <c r="I305" s="39">
        <v>1.47</v>
      </c>
      <c r="J305" s="39">
        <v>3.26</v>
      </c>
      <c r="K305" s="39">
        <v>3.58</v>
      </c>
      <c r="L305" s="39">
        <v>0.03</v>
      </c>
      <c r="M305" s="39">
        <v>0.24</v>
      </c>
      <c r="N305" s="39">
        <v>100</v>
      </c>
      <c r="O305" s="39">
        <v>5.05</v>
      </c>
    </row>
    <row r="306" spans="2:15" x14ac:dyDescent="0.2">
      <c r="B306" s="23" t="s">
        <v>249</v>
      </c>
      <c r="C306" s="39">
        <v>75.64</v>
      </c>
      <c r="D306" s="39">
        <v>0.31</v>
      </c>
      <c r="E306" s="39">
        <v>13.1</v>
      </c>
      <c r="F306" s="39">
        <v>1.77</v>
      </c>
      <c r="G306" s="39">
        <v>0.05</v>
      </c>
      <c r="H306" s="39">
        <v>0.24</v>
      </c>
      <c r="I306" s="39">
        <v>1.43</v>
      </c>
      <c r="J306" s="39">
        <v>3.47</v>
      </c>
      <c r="K306" s="39">
        <v>3.74</v>
      </c>
      <c r="L306" s="39">
        <v>0.06</v>
      </c>
      <c r="M306" s="39">
        <v>0.27</v>
      </c>
      <c r="N306" s="39">
        <v>100</v>
      </c>
      <c r="O306" s="39">
        <v>3.26</v>
      </c>
    </row>
    <row r="307" spans="2:15" x14ac:dyDescent="0.2">
      <c r="B307" s="23" t="s">
        <v>250</v>
      </c>
      <c r="C307" s="39">
        <v>75.959999999999994</v>
      </c>
      <c r="D307" s="39">
        <v>0.34</v>
      </c>
      <c r="E307" s="39">
        <v>13.06</v>
      </c>
      <c r="F307" s="39">
        <v>1.71</v>
      </c>
      <c r="G307" s="39">
        <v>0.06</v>
      </c>
      <c r="H307" s="39">
        <v>0.28000000000000003</v>
      </c>
      <c r="I307" s="39">
        <v>1.48</v>
      </c>
      <c r="J307" s="39">
        <v>3.23</v>
      </c>
      <c r="K307" s="39">
        <v>3.65</v>
      </c>
      <c r="L307" s="39">
        <v>0</v>
      </c>
      <c r="M307" s="39">
        <v>0.3</v>
      </c>
      <c r="N307" s="39">
        <v>100</v>
      </c>
      <c r="O307" s="39">
        <v>4.26</v>
      </c>
    </row>
    <row r="308" spans="2:15" x14ac:dyDescent="0.2">
      <c r="B308" s="23" t="s">
        <v>251</v>
      </c>
      <c r="C308" s="39">
        <v>76.16</v>
      </c>
      <c r="D308" s="39">
        <v>0.3</v>
      </c>
      <c r="E308" s="39">
        <v>12.89</v>
      </c>
      <c r="F308" s="39">
        <v>1.75</v>
      </c>
      <c r="G308" s="39">
        <v>7.0000000000000007E-2</v>
      </c>
      <c r="H308" s="39">
        <v>0.3</v>
      </c>
      <c r="I308" s="39">
        <v>1.39</v>
      </c>
      <c r="J308" s="39">
        <v>3.39</v>
      </c>
      <c r="K308" s="39">
        <v>3.46</v>
      </c>
      <c r="L308" s="39">
        <v>7.0000000000000007E-2</v>
      </c>
      <c r="M308" s="39">
        <v>0.28999999999999998</v>
      </c>
      <c r="N308" s="39">
        <v>100</v>
      </c>
      <c r="O308" s="39">
        <v>5.01</v>
      </c>
    </row>
    <row r="309" spans="2:15" x14ac:dyDescent="0.2">
      <c r="B309" s="23" t="s">
        <v>252</v>
      </c>
      <c r="C309" s="39">
        <v>75.400000000000006</v>
      </c>
      <c r="D309" s="39">
        <v>0.28999999999999998</v>
      </c>
      <c r="E309" s="39">
        <v>13.22</v>
      </c>
      <c r="F309" s="39">
        <v>1.84</v>
      </c>
      <c r="G309" s="39">
        <v>0.1</v>
      </c>
      <c r="H309" s="39">
        <v>0.3</v>
      </c>
      <c r="I309" s="39">
        <v>1.36</v>
      </c>
      <c r="J309" s="39">
        <v>3.58</v>
      </c>
      <c r="K309" s="39">
        <v>3.53</v>
      </c>
      <c r="L309" s="39">
        <v>0.15</v>
      </c>
      <c r="M309" s="39">
        <v>0.3</v>
      </c>
      <c r="N309" s="39">
        <v>100</v>
      </c>
      <c r="O309" s="39">
        <v>4.33</v>
      </c>
    </row>
    <row r="310" spans="2:15" x14ac:dyDescent="0.2">
      <c r="B310" s="24" t="s">
        <v>20</v>
      </c>
      <c r="C310" s="18">
        <f>AVERAGE(C304:C309)</f>
        <v>75.813333333333333</v>
      </c>
      <c r="D310" s="18">
        <f t="shared" ref="D310:O310" si="60">AVERAGE(D304:D309)</f>
        <v>0.30833333333333335</v>
      </c>
      <c r="E310" s="18">
        <f t="shared" si="60"/>
        <v>13.053333333333333</v>
      </c>
      <c r="F310" s="18">
        <f t="shared" si="60"/>
        <v>1.75</v>
      </c>
      <c r="G310" s="18">
        <f t="shared" si="60"/>
        <v>6.5000000000000002E-2</v>
      </c>
      <c r="H310" s="18">
        <f t="shared" si="60"/>
        <v>0.29166666666666669</v>
      </c>
      <c r="I310" s="18">
        <f t="shared" si="60"/>
        <v>1.43</v>
      </c>
      <c r="J310" s="18">
        <f t="shared" si="60"/>
        <v>3.3800000000000003</v>
      </c>
      <c r="K310" s="18">
        <f t="shared" si="60"/>
        <v>3.6283333333333339</v>
      </c>
      <c r="L310" s="18">
        <f t="shared" si="60"/>
        <v>6.3333333333333339E-2</v>
      </c>
      <c r="M310" s="18">
        <f t="shared" si="60"/>
        <v>0.28666666666666668</v>
      </c>
      <c r="N310" s="18">
        <f t="shared" si="60"/>
        <v>100</v>
      </c>
      <c r="O310" s="18">
        <f t="shared" si="60"/>
        <v>4.4466666666666663</v>
      </c>
    </row>
    <row r="311" spans="2:15" x14ac:dyDescent="0.2">
      <c r="B311" s="24" t="s">
        <v>21</v>
      </c>
      <c r="C311" s="18">
        <f>STDEV(C304:C309)</f>
        <v>0.28696108911604212</v>
      </c>
      <c r="D311" s="18">
        <f t="shared" ref="D311:O311" si="61">STDEV(D304:D309)</f>
        <v>1.7224014243685099E-2</v>
      </c>
      <c r="E311" s="18">
        <f t="shared" si="61"/>
        <v>0.10911767348448494</v>
      </c>
      <c r="F311" s="18">
        <f t="shared" si="61"/>
        <v>5.0199601592044577E-2</v>
      </c>
      <c r="G311" s="18">
        <f t="shared" si="61"/>
        <v>1.8708286933869715E-2</v>
      </c>
      <c r="H311" s="18">
        <f t="shared" si="61"/>
        <v>2.8577380332470412E-2</v>
      </c>
      <c r="I311" s="18">
        <f t="shared" si="61"/>
        <v>4.690415759823427E-2</v>
      </c>
      <c r="J311" s="18">
        <f t="shared" si="61"/>
        <v>0.13114877048604012</v>
      </c>
      <c r="K311" s="18">
        <f t="shared" si="61"/>
        <v>0.131364632480233</v>
      </c>
      <c r="L311" s="18">
        <f t="shared" si="61"/>
        <v>5.0464508980734832E-2</v>
      </c>
      <c r="M311" s="18">
        <f t="shared" si="61"/>
        <v>2.8047578623950173E-2</v>
      </c>
      <c r="N311" s="18">
        <f t="shared" si="61"/>
        <v>0</v>
      </c>
      <c r="O311" s="18">
        <f t="shared" si="61"/>
        <v>0.66970640333407483</v>
      </c>
    </row>
  </sheetData>
  <sortState xmlns:xlrd2="http://schemas.microsoft.com/office/spreadsheetml/2017/richdata2" ref="B37:O54">
    <sortCondition ref="C37:C54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6FFD-CEA0-CA4D-B150-DFBEECD0F7C4}">
  <dimension ref="A1:J19"/>
  <sheetViews>
    <sheetView workbookViewId="0">
      <selection activeCell="I39" sqref="I39"/>
    </sheetView>
  </sheetViews>
  <sheetFormatPr baseColWidth="10" defaultRowHeight="16" x14ac:dyDescent="0.2"/>
  <sheetData>
    <row r="1" spans="1:10" x14ac:dyDescent="0.2">
      <c r="A1" s="42" t="s">
        <v>583</v>
      </c>
      <c r="B1" s="42" t="s">
        <v>584</v>
      </c>
      <c r="C1" s="42" t="s">
        <v>60</v>
      </c>
      <c r="D1" s="42" t="s">
        <v>59</v>
      </c>
      <c r="E1" s="42" t="s">
        <v>585</v>
      </c>
      <c r="F1" s="42" t="s">
        <v>586</v>
      </c>
      <c r="G1" s="42" t="s">
        <v>587</v>
      </c>
      <c r="H1" s="42" t="s">
        <v>588</v>
      </c>
      <c r="I1" s="42" t="s">
        <v>589</v>
      </c>
      <c r="J1" s="43"/>
    </row>
    <row r="2" spans="1:10" x14ac:dyDescent="0.2">
      <c r="A2" s="19">
        <v>267</v>
      </c>
      <c r="B2" s="19">
        <v>1</v>
      </c>
      <c r="C2" s="19">
        <v>256.04000000000002</v>
      </c>
      <c r="D2" s="19">
        <v>256.06</v>
      </c>
      <c r="E2" s="42" t="s">
        <v>590</v>
      </c>
      <c r="F2" s="42" t="s">
        <v>591</v>
      </c>
      <c r="G2" s="42">
        <v>1</v>
      </c>
      <c r="H2" s="42"/>
      <c r="I2" s="42" t="s">
        <v>592</v>
      </c>
      <c r="J2" s="43"/>
    </row>
    <row r="3" spans="1:10" x14ac:dyDescent="0.2">
      <c r="A3" s="19">
        <v>267</v>
      </c>
      <c r="B3" s="19">
        <v>2</v>
      </c>
      <c r="C3" s="19">
        <v>256.06</v>
      </c>
      <c r="D3" s="19">
        <v>256.08</v>
      </c>
      <c r="E3" s="42" t="s">
        <v>590</v>
      </c>
      <c r="F3" s="42" t="s">
        <v>591</v>
      </c>
      <c r="G3" s="42">
        <v>2</v>
      </c>
      <c r="H3" s="42"/>
      <c r="I3" s="42" t="s">
        <v>593</v>
      </c>
      <c r="J3" s="43"/>
    </row>
    <row r="4" spans="1:10" x14ac:dyDescent="0.2">
      <c r="A4" s="19">
        <v>267</v>
      </c>
      <c r="B4" s="19">
        <v>3</v>
      </c>
      <c r="C4" s="19">
        <v>256.08</v>
      </c>
      <c r="D4" s="19">
        <v>256.10000000000002</v>
      </c>
      <c r="E4" s="42" t="s">
        <v>590</v>
      </c>
      <c r="F4" s="42" t="s">
        <v>591</v>
      </c>
      <c r="G4" s="42">
        <v>3</v>
      </c>
      <c r="H4" s="42"/>
      <c r="I4" s="42" t="s">
        <v>594</v>
      </c>
      <c r="J4" s="43"/>
    </row>
    <row r="5" spans="1:10" x14ac:dyDescent="0.2">
      <c r="A5" s="19">
        <v>267</v>
      </c>
      <c r="B5" s="19">
        <v>4</v>
      </c>
      <c r="C5" s="19">
        <v>256.10000000000002</v>
      </c>
      <c r="D5" s="19">
        <v>256.12</v>
      </c>
      <c r="E5" s="42" t="s">
        <v>590</v>
      </c>
      <c r="F5" s="42" t="s">
        <v>595</v>
      </c>
      <c r="G5" s="42">
        <v>1</v>
      </c>
      <c r="H5" s="42"/>
      <c r="I5" s="42" t="s">
        <v>596</v>
      </c>
      <c r="J5" s="43"/>
    </row>
    <row r="6" spans="1:10" x14ac:dyDescent="0.2">
      <c r="A6" s="19">
        <v>267</v>
      </c>
      <c r="B6" s="19">
        <v>5</v>
      </c>
      <c r="C6" s="19">
        <v>256.12</v>
      </c>
      <c r="D6" s="19">
        <v>256.14</v>
      </c>
      <c r="E6" s="42" t="s">
        <v>590</v>
      </c>
      <c r="F6" s="42" t="s">
        <v>595</v>
      </c>
      <c r="G6" s="42">
        <v>2</v>
      </c>
      <c r="H6" s="42"/>
      <c r="I6" s="42" t="s">
        <v>597</v>
      </c>
      <c r="J6" s="43"/>
    </row>
    <row r="7" spans="1:10" x14ac:dyDescent="0.2">
      <c r="A7" s="19">
        <v>267</v>
      </c>
      <c r="B7" s="19">
        <v>6</v>
      </c>
      <c r="C7" s="19">
        <v>256.14</v>
      </c>
      <c r="D7" s="19">
        <v>256.14999999999998</v>
      </c>
      <c r="E7" s="42" t="s">
        <v>590</v>
      </c>
      <c r="F7" s="42" t="s">
        <v>595</v>
      </c>
      <c r="G7" s="42">
        <v>3</v>
      </c>
      <c r="H7" s="42"/>
      <c r="I7" s="42" t="s">
        <v>598</v>
      </c>
      <c r="J7" s="43"/>
    </row>
    <row r="8" spans="1:10" x14ac:dyDescent="0.2">
      <c r="A8" s="19">
        <v>266</v>
      </c>
      <c r="B8" s="19">
        <v>1</v>
      </c>
      <c r="C8" s="19">
        <v>255.036</v>
      </c>
      <c r="D8" s="19">
        <v>255.05600000000001</v>
      </c>
      <c r="E8" s="42" t="s">
        <v>590</v>
      </c>
      <c r="F8" s="42" t="s">
        <v>599</v>
      </c>
      <c r="G8" s="42">
        <v>1</v>
      </c>
      <c r="H8" s="42"/>
      <c r="I8" s="42" t="s">
        <v>600</v>
      </c>
      <c r="J8" s="43"/>
    </row>
    <row r="9" spans="1:10" x14ac:dyDescent="0.2">
      <c r="A9" s="19">
        <v>266</v>
      </c>
      <c r="B9" s="19">
        <v>2</v>
      </c>
      <c r="C9" s="19">
        <v>255.05600000000001</v>
      </c>
      <c r="D9" s="19">
        <v>255.07599999999999</v>
      </c>
      <c r="E9" s="42" t="s">
        <v>590</v>
      </c>
      <c r="F9" s="42" t="s">
        <v>599</v>
      </c>
      <c r="G9" s="42">
        <v>2</v>
      </c>
      <c r="H9" s="42"/>
      <c r="I9" s="42" t="s">
        <v>601</v>
      </c>
      <c r="J9" s="43"/>
    </row>
    <row r="10" spans="1:10" x14ac:dyDescent="0.2">
      <c r="A10" s="19">
        <v>266</v>
      </c>
      <c r="B10" s="19">
        <v>3</v>
      </c>
      <c r="C10" s="19">
        <v>255.07599999999999</v>
      </c>
      <c r="D10" s="19">
        <v>255.096</v>
      </c>
      <c r="E10" s="42" t="s">
        <v>590</v>
      </c>
      <c r="F10" s="42" t="s">
        <v>599</v>
      </c>
      <c r="G10" s="42">
        <v>3</v>
      </c>
      <c r="H10" s="42"/>
      <c r="I10" s="42" t="s">
        <v>602</v>
      </c>
      <c r="J10" s="43"/>
    </row>
    <row r="11" spans="1:10" x14ac:dyDescent="0.2">
      <c r="A11" s="19">
        <v>266</v>
      </c>
      <c r="B11" s="19">
        <v>4</v>
      </c>
      <c r="C11" s="19">
        <v>255.096</v>
      </c>
      <c r="D11" s="19">
        <v>255.11600000000001</v>
      </c>
      <c r="E11" s="42" t="s">
        <v>590</v>
      </c>
      <c r="F11" s="42" t="s">
        <v>603</v>
      </c>
      <c r="G11" s="42">
        <v>1</v>
      </c>
      <c r="H11" s="42"/>
      <c r="I11" s="42" t="s">
        <v>604</v>
      </c>
      <c r="J11" s="43"/>
    </row>
    <row r="12" spans="1:10" x14ac:dyDescent="0.2">
      <c r="A12" s="19">
        <v>266</v>
      </c>
      <c r="B12" s="19">
        <v>5</v>
      </c>
      <c r="C12" s="19">
        <v>255.11600000000001</v>
      </c>
      <c r="D12" s="19">
        <v>255.136</v>
      </c>
      <c r="E12" s="42" t="s">
        <v>590</v>
      </c>
      <c r="F12" s="42" t="s">
        <v>603</v>
      </c>
      <c r="G12" s="42">
        <v>2</v>
      </c>
      <c r="H12" s="42"/>
      <c r="I12" s="42" t="s">
        <v>605</v>
      </c>
      <c r="J12" s="43"/>
    </row>
    <row r="13" spans="1:10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</row>
    <row r="14" spans="1:10" x14ac:dyDescent="0.2">
      <c r="A14" s="43"/>
      <c r="B14" s="43"/>
      <c r="C14" s="43"/>
      <c r="D14" s="43"/>
      <c r="E14" s="43"/>
      <c r="F14" s="43"/>
      <c r="G14" s="43"/>
      <c r="H14" s="43"/>
      <c r="I14" s="43"/>
      <c r="J14" s="43"/>
    </row>
    <row r="15" spans="1:10" x14ac:dyDescent="0.2">
      <c r="A15" s="43"/>
      <c r="B15" s="43"/>
      <c r="C15" s="43"/>
      <c r="D15" s="43"/>
      <c r="E15" s="43"/>
      <c r="F15" s="43"/>
      <c r="G15" s="43"/>
      <c r="H15" s="43"/>
      <c r="I15" s="43"/>
      <c r="J15" s="43"/>
    </row>
    <row r="16" spans="1:10" x14ac:dyDescent="0.2">
      <c r="A16" s="43"/>
      <c r="B16" s="43"/>
      <c r="C16" s="43"/>
      <c r="D16" s="43"/>
      <c r="E16" s="43"/>
      <c r="F16" s="43"/>
      <c r="G16" s="43"/>
      <c r="H16" s="43"/>
      <c r="I16" s="43"/>
      <c r="J16" s="43"/>
    </row>
    <row r="17" spans="1:10" x14ac:dyDescent="0.2">
      <c r="A17" s="43"/>
      <c r="B17" s="43"/>
      <c r="C17" s="43"/>
      <c r="D17" s="43"/>
      <c r="E17" s="43"/>
      <c r="F17" s="43"/>
      <c r="G17" s="43"/>
      <c r="H17" s="43"/>
      <c r="I17" s="43"/>
      <c r="J17" s="43"/>
    </row>
    <row r="18" spans="1:10" x14ac:dyDescent="0.2">
      <c r="A18" s="43"/>
      <c r="B18" s="43"/>
      <c r="C18" s="43"/>
      <c r="D18" s="43"/>
      <c r="E18" s="43"/>
      <c r="F18" s="43"/>
      <c r="G18" s="43"/>
      <c r="H18" s="43"/>
      <c r="I18" s="43"/>
      <c r="J18" s="43"/>
    </row>
    <row r="19" spans="1:10" x14ac:dyDescent="0.2">
      <c r="A19" s="43"/>
      <c r="B19" s="43"/>
      <c r="C19" s="43"/>
      <c r="D19" s="43"/>
      <c r="E19" s="43"/>
      <c r="F19" s="43"/>
      <c r="G19" s="43"/>
      <c r="H19" s="43"/>
      <c r="I19" s="43"/>
      <c r="J19" s="4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Katmai-Novarupta, 1912</vt:lpstr>
      <vt:lpstr>Katmai-Novarupta, 1912 (HR)</vt:lpstr>
      <vt:lpstr>Augustine, 1986_plot</vt:lpstr>
      <vt:lpstr>Augustine, 1986</vt:lpstr>
      <vt:lpstr>Logan Novarupta Sample Notes</vt:lpstr>
      <vt:lpstr>'Augustine, 1986_plot'!Print_Area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Yousif</dc:creator>
  <cp:lastModifiedBy>Kira Holland</cp:lastModifiedBy>
  <cp:lastPrinted>2025-07-23T23:00:39Z</cp:lastPrinted>
  <dcterms:created xsi:type="dcterms:W3CDTF">2025-01-07T19:30:44Z</dcterms:created>
  <dcterms:modified xsi:type="dcterms:W3CDTF">2025-07-23T23:22:38Z</dcterms:modified>
</cp:coreProperties>
</file>